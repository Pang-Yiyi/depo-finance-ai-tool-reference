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omments13.xml" ContentType="application/vnd.openxmlformats-officedocument.spreadsheetml.comments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updateLinks="never"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115年度(財報自編.董事會.收入調節表)\115年財報自編\115Q1\2026Q1自編財報\"/>
    </mc:Choice>
  </mc:AlternateContent>
  <bookViews>
    <workbookView xWindow="-105" yWindow="-105" windowWidth="19425" windowHeight="10425" tabRatio="814" firstSheet="1" activeTab="1"/>
  </bookViews>
  <sheets>
    <sheet name="財務比率107 Q3" sheetId="25" state="hidden" r:id="rId1"/>
    <sheet name="財務比率115Q1" sheetId="33" r:id="rId2"/>
    <sheet name="預付" sheetId="39" r:id="rId3"/>
    <sheet name="財務比率111Q1 " sheetId="36" state="hidden" r:id="rId4"/>
    <sheet name="財務比率111Q3" sheetId="38" state="hidden" r:id="rId5"/>
    <sheet name="財務比率111Q2 " sheetId="37" state="hidden" r:id="rId6"/>
    <sheet name="財務比率110Q2" sheetId="30" state="hidden" r:id="rId7"/>
    <sheet name="財務比率109Q3 " sheetId="32" state="hidden" r:id="rId8"/>
    <sheet name="財務比率109Q2" sheetId="31" state="hidden" r:id="rId9"/>
    <sheet name="財務比率109Q1" sheetId="27" state="hidden" r:id="rId10"/>
    <sheet name="財務比率108Q4" sheetId="29" state="hidden" r:id="rId11"/>
    <sheet name="財務比率108Q3" sheetId="28" state="hidden" r:id="rId12"/>
    <sheet name="財務比率108Q2" sheetId="26" state="hidden" r:id="rId13"/>
    <sheet name="財務比率105Q4" sheetId="24" state="hidden" r:id="rId14"/>
    <sheet name="財務比率103Q4" sheetId="22" state="hidden" r:id="rId15"/>
    <sheet name="財務比率103Q3" sheetId="16" state="hidden" r:id="rId16"/>
    <sheet name="財務比率103Q2" sheetId="15" state="hidden" r:id="rId17"/>
    <sheet name="財務比率103Q1" sheetId="10" state="hidden" r:id="rId18"/>
    <sheet name="財務比率102Q4" sheetId="9" state="hidden" r:id="rId19"/>
    <sheet name="財務比率101Q4  IFRS" sheetId="23" state="hidden" r:id="rId20"/>
    <sheet name="財務比率102Q3" sheetId="7" state="hidden" r:id="rId21"/>
    <sheet name="財務比率102Q3 (2)" sheetId="8" state="hidden" r:id="rId22"/>
    <sheet name="財務比率102Q2" sheetId="6" state="hidden" r:id="rId23"/>
  </sheets>
  <definedNames>
    <definedName name="_xlnm._FilterDatabase" localSheetId="0" hidden="1">'財務比率107 Q3'!$H$43:$I$47</definedName>
    <definedName name="_xlnm._FilterDatabase" localSheetId="12" hidden="1">財務比率108Q2!$H$43:$I$47</definedName>
    <definedName name="AS2DocOpenMode" hidden="1">"AS2DocumentEdit"</definedName>
    <definedName name="DA_3835901292100003053" localSheetId="4" hidden="1">財務比率111Q3!$C$3</definedName>
    <definedName name="DA_3835901292100003053" hidden="1">財務比率115Q1!$C$3</definedName>
    <definedName name="DA_3835901292100003059" localSheetId="4" hidden="1">財務比率111Q3!$C$8</definedName>
    <definedName name="DA_3835901292100003059" hidden="1">財務比率115Q1!$C$8</definedName>
    <definedName name="DA_3835901292100003064" localSheetId="4" hidden="1">財務比率111Q3!$C$27</definedName>
    <definedName name="DA_3835901292100003064" hidden="1">財務比率115Q1!$C$27</definedName>
    <definedName name="DA_4319885797900039199" hidden="1">財務比率115Q1!$C$9</definedName>
    <definedName name="_xlnm.Print_Area" localSheetId="19">'財務比率101Q4  IFRS'!$A$1:$J$55</definedName>
    <definedName name="_xlnm.Print_Area" localSheetId="22">財務比率102Q2!$A$1:$J$42</definedName>
    <definedName name="_xlnm.Print_Area" localSheetId="20">財務比率102Q3!$A$1:$J$42</definedName>
    <definedName name="_xlnm.Print_Area" localSheetId="21">'財務比率102Q3 (2)'!$A$1:$J$42</definedName>
    <definedName name="_xlnm.Print_Area" localSheetId="18">財務比率102Q4!$A$1:$J$42</definedName>
    <definedName name="_xlnm.Print_Area" localSheetId="17">財務比率103Q1!$A$1:$J$42</definedName>
    <definedName name="_xlnm.Print_Area" localSheetId="16">財務比率103Q2!$A$1:$J$42</definedName>
    <definedName name="_xlnm.Print_Area" localSheetId="15">財務比率103Q3!$A$1:$J$42</definedName>
    <definedName name="_xlnm.Print_Area" localSheetId="14">財務比率103Q4!$A$1:$J$42</definedName>
    <definedName name="_xlnm.Print_Area" localSheetId="13">財務比率105Q4!$A$1:$J$42</definedName>
    <definedName name="_xlnm.Print_Area" localSheetId="0">'財務比率107 Q3'!$A$1:$J$42</definedName>
    <definedName name="_xlnm.Print_Area" localSheetId="12">財務比率108Q2!$A$1:$J$42</definedName>
    <definedName name="_xlnm.Print_Area" localSheetId="10">財務比率108Q4!$A$1:$J$42</definedName>
  </definedNames>
  <calcPr calcId="162913"/>
</workbook>
</file>

<file path=xl/calcChain.xml><?xml version="1.0" encoding="utf-8"?>
<calcChain xmlns="http://schemas.openxmlformats.org/spreadsheetml/2006/main">
  <c r="I39" i="33" l="1"/>
  <c r="I5" i="33" l="1"/>
  <c r="F26" i="33"/>
  <c r="F13" i="33"/>
  <c r="D11" i="39" l="1"/>
  <c r="I38" i="33" s="1"/>
  <c r="F5" i="33" l="1"/>
  <c r="F27" i="33" l="1"/>
  <c r="C22" i="33" l="1"/>
  <c r="C12" i="33"/>
  <c r="C11" i="33"/>
  <c r="C9" i="33"/>
  <c r="C8" i="36"/>
  <c r="C8" i="33"/>
  <c r="I46" i="33"/>
  <c r="I11" i="33" l="1"/>
  <c r="I6" i="33"/>
  <c r="F17" i="33" l="1"/>
  <c r="C17" i="33" s="1"/>
  <c r="F16" i="33"/>
  <c r="C16" i="33" l="1"/>
  <c r="C15" i="33"/>
  <c r="C3" i="33"/>
  <c r="I46" i="38"/>
  <c r="I44" i="38"/>
  <c r="I36" i="38"/>
  <c r="F32" i="38"/>
  <c r="F27" i="38"/>
  <c r="C27" i="38"/>
  <c r="F26" i="38"/>
  <c r="F21" i="38" s="1"/>
  <c r="C23" i="38" s="1"/>
  <c r="C26" i="38"/>
  <c r="I24" i="38"/>
  <c r="C24" i="38"/>
  <c r="I23" i="38"/>
  <c r="C22" i="38"/>
  <c r="C21" i="38"/>
  <c r="C20" i="38"/>
  <c r="C19" i="38"/>
  <c r="C18" i="38"/>
  <c r="F17" i="38"/>
  <c r="C17" i="38" s="1"/>
  <c r="F16" i="38"/>
  <c r="C15" i="38" s="1"/>
  <c r="C16" i="38"/>
  <c r="C14" i="38"/>
  <c r="F13" i="38"/>
  <c r="C8" i="38" s="1"/>
  <c r="C12" i="38"/>
  <c r="I11" i="38"/>
  <c r="C11" i="38"/>
  <c r="C13" i="38" s="1"/>
  <c r="C9" i="38"/>
  <c r="C10" i="38" s="1"/>
  <c r="I6" i="38"/>
  <c r="C6" i="38"/>
  <c r="C5" i="38"/>
  <c r="C4" i="38"/>
  <c r="C3" i="38"/>
  <c r="C26" i="33"/>
  <c r="C23" i="37"/>
  <c r="C22" i="37"/>
  <c r="C18" i="33"/>
  <c r="C21" i="33"/>
  <c r="C20" i="33"/>
  <c r="C13" i="33"/>
  <c r="C6" i="33"/>
  <c r="C27" i="33"/>
  <c r="I47" i="38" l="1"/>
  <c r="I7" i="38" s="1"/>
  <c r="C25" i="38" s="1"/>
  <c r="C7" i="38"/>
  <c r="I44" i="33"/>
  <c r="I47" i="33" s="1"/>
  <c r="I36" i="37"/>
  <c r="I36" i="33"/>
  <c r="I24" i="33"/>
  <c r="I23" i="33"/>
  <c r="C14" i="33" s="1"/>
  <c r="C19" i="33"/>
  <c r="C24" i="33"/>
  <c r="F32" i="37" l="1"/>
  <c r="F26" i="37"/>
  <c r="C10" i="33"/>
  <c r="C4" i="33" l="1"/>
  <c r="I46" i="37"/>
  <c r="I44" i="37"/>
  <c r="I47" i="37" s="1"/>
  <c r="I7" i="37" s="1"/>
  <c r="C25" i="37" s="1"/>
  <c r="I38" i="37"/>
  <c r="F27" i="37"/>
  <c r="C27" i="37"/>
  <c r="I24" i="37"/>
  <c r="I23" i="37"/>
  <c r="F21" i="37"/>
  <c r="C21" i="37"/>
  <c r="C20" i="37"/>
  <c r="C18" i="37"/>
  <c r="F17" i="37"/>
  <c r="C17" i="37" s="1"/>
  <c r="F16" i="37"/>
  <c r="I15" i="37"/>
  <c r="C9" i="37" s="1"/>
  <c r="C10" i="37" s="1"/>
  <c r="C15" i="37"/>
  <c r="C14" i="37"/>
  <c r="F13" i="37"/>
  <c r="C8" i="37" s="1"/>
  <c r="C12" i="37"/>
  <c r="C11" i="37"/>
  <c r="C13" i="37" s="1"/>
  <c r="I10" i="37"/>
  <c r="C16" i="37" s="1"/>
  <c r="I6" i="37"/>
  <c r="C6" i="37"/>
  <c r="I5" i="37"/>
  <c r="C24" i="37" s="1"/>
  <c r="C5" i="37"/>
  <c r="C4" i="37"/>
  <c r="C3" i="37"/>
  <c r="C7" i="37" l="1"/>
  <c r="C26" i="37"/>
  <c r="I11" i="37"/>
  <c r="C19" i="37" s="1"/>
  <c r="F32" i="36"/>
  <c r="I46" i="36" l="1"/>
  <c r="I44" i="36"/>
  <c r="I36" i="36"/>
  <c r="F27" i="36"/>
  <c r="C27" i="36"/>
  <c r="F26" i="36"/>
  <c r="I24" i="36"/>
  <c r="C24" i="36" s="1"/>
  <c r="I23" i="36"/>
  <c r="C22" i="36"/>
  <c r="F21" i="36"/>
  <c r="C23" i="36" s="1"/>
  <c r="C21" i="36"/>
  <c r="C20" i="36"/>
  <c r="C18" i="36"/>
  <c r="F17" i="36"/>
  <c r="C17" i="36"/>
  <c r="F16" i="36"/>
  <c r="C16" i="36"/>
  <c r="C15" i="36"/>
  <c r="C14" i="36"/>
  <c r="F13" i="36"/>
  <c r="C7" i="36" s="1"/>
  <c r="C12" i="36"/>
  <c r="C11" i="36"/>
  <c r="C13" i="36" s="1"/>
  <c r="I10" i="36"/>
  <c r="C26" i="36" s="1"/>
  <c r="C10" i="36"/>
  <c r="C9" i="36"/>
  <c r="I6" i="36"/>
  <c r="C6" i="36"/>
  <c r="I5" i="36"/>
  <c r="C5" i="36"/>
  <c r="C4" i="36"/>
  <c r="C3" i="36"/>
  <c r="I47" i="36" l="1"/>
  <c r="I7" i="36" s="1"/>
  <c r="C25" i="36" s="1"/>
  <c r="I11" i="36"/>
  <c r="C19" i="36" s="1"/>
  <c r="I7" i="33" l="1"/>
  <c r="C25" i="33" s="1"/>
  <c r="C7" i="33" l="1"/>
  <c r="C5" i="33"/>
  <c r="C22" i="30" l="1"/>
  <c r="C17" i="30"/>
  <c r="C16" i="30"/>
  <c r="C15" i="30"/>
  <c r="C14" i="30"/>
  <c r="C12" i="30"/>
  <c r="C11" i="30"/>
  <c r="C9" i="30"/>
  <c r="C27" i="30" l="1"/>
  <c r="C3" i="30"/>
  <c r="C3" i="31"/>
  <c r="I10" i="30" l="1"/>
  <c r="I46" i="32" l="1"/>
  <c r="I44" i="32"/>
  <c r="I47" i="32" s="1"/>
  <c r="I7" i="32" s="1"/>
  <c r="C25" i="32" s="1"/>
  <c r="I36" i="32"/>
  <c r="F32" i="32"/>
  <c r="F27" i="32" s="1"/>
  <c r="C23" i="32" s="1"/>
  <c r="F26" i="32"/>
  <c r="C26" i="32"/>
  <c r="I24" i="32"/>
  <c r="C24" i="32" s="1"/>
  <c r="I23" i="32"/>
  <c r="C14" i="32" s="1"/>
  <c r="C22" i="32"/>
  <c r="F21" i="32"/>
  <c r="C21" i="32"/>
  <c r="C20" i="32"/>
  <c r="C18" i="32"/>
  <c r="F17" i="32"/>
  <c r="C17" i="32" s="1"/>
  <c r="F16" i="32"/>
  <c r="C15" i="32"/>
  <c r="F13" i="32"/>
  <c r="C12" i="32"/>
  <c r="I11" i="32"/>
  <c r="C19" i="32" s="1"/>
  <c r="C11" i="32"/>
  <c r="C13" i="32" s="1"/>
  <c r="I10" i="32"/>
  <c r="C16" i="32" s="1"/>
  <c r="C10" i="32"/>
  <c r="C9" i="32"/>
  <c r="C8" i="32"/>
  <c r="C7" i="32"/>
  <c r="I6" i="32"/>
  <c r="C6" i="32"/>
  <c r="C5" i="32"/>
  <c r="C4" i="32"/>
  <c r="C3" i="32"/>
  <c r="F32" i="30" l="1"/>
  <c r="F27" i="30" s="1"/>
  <c r="I5" i="31" l="1"/>
  <c r="I46" i="30" l="1"/>
  <c r="I6" i="30"/>
  <c r="I36" i="31" l="1"/>
  <c r="I36" i="30"/>
  <c r="F16" i="30" l="1"/>
  <c r="I46" i="31"/>
  <c r="I44" i="31"/>
  <c r="I47" i="31" s="1"/>
  <c r="I7" i="31" s="1"/>
  <c r="C25" i="31" s="1"/>
  <c r="F32" i="31"/>
  <c r="F27" i="31"/>
  <c r="F26" i="31"/>
  <c r="C26" i="31"/>
  <c r="I24" i="31"/>
  <c r="C24" i="31" s="1"/>
  <c r="I23" i="31"/>
  <c r="C14" i="31" s="1"/>
  <c r="C22" i="31"/>
  <c r="F21" i="31"/>
  <c r="C23" i="31" s="1"/>
  <c r="C21" i="31"/>
  <c r="C20" i="31"/>
  <c r="C18" i="31"/>
  <c r="F16" i="31"/>
  <c r="C15" i="31"/>
  <c r="F13" i="31"/>
  <c r="I11" i="31" s="1"/>
  <c r="C19" i="31" s="1"/>
  <c r="C12" i="31"/>
  <c r="C11" i="31"/>
  <c r="C13" i="31" s="1"/>
  <c r="I10" i="31"/>
  <c r="C16" i="31" s="1"/>
  <c r="C10" i="31"/>
  <c r="C9" i="31"/>
  <c r="C8" i="31"/>
  <c r="C7" i="31"/>
  <c r="I6" i="31"/>
  <c r="C6" i="31"/>
  <c r="F5" i="31"/>
  <c r="C4" i="31" s="1"/>
  <c r="C5" i="31"/>
  <c r="F17" i="31" l="1"/>
  <c r="C17" i="31" s="1"/>
  <c r="C8" i="30"/>
  <c r="F26" i="30" l="1"/>
  <c r="F21" i="30" s="1"/>
  <c r="C23" i="30" s="1"/>
  <c r="C17" i="27" l="1"/>
  <c r="C10" i="30"/>
  <c r="I11" i="30"/>
  <c r="I23" i="30"/>
  <c r="I44" i="30" l="1"/>
  <c r="C26" i="30"/>
  <c r="I24" i="30"/>
  <c r="C24" i="30" s="1"/>
  <c r="C21" i="30"/>
  <c r="C20" i="30"/>
  <c r="C18" i="30"/>
  <c r="C7" i="30"/>
  <c r="C13" i="30"/>
  <c r="C6" i="30"/>
  <c r="C5" i="30"/>
  <c r="F17" i="30" l="1"/>
  <c r="C4" i="30"/>
  <c r="I47" i="30"/>
  <c r="I7" i="30" s="1"/>
  <c r="C25" i="30" s="1"/>
  <c r="C19" i="30"/>
  <c r="I46" i="27"/>
  <c r="I47" i="27" s="1"/>
  <c r="I7" i="27" s="1"/>
  <c r="C25" i="27" s="1"/>
  <c r="I44" i="27"/>
  <c r="I36" i="27"/>
  <c r="F32" i="27"/>
  <c r="F27" i="27"/>
  <c r="C23" i="27" s="1"/>
  <c r="F26" i="27"/>
  <c r="C26" i="27"/>
  <c r="I24" i="27"/>
  <c r="C24" i="27" s="1"/>
  <c r="I23" i="27"/>
  <c r="C22" i="27"/>
  <c r="F21" i="27"/>
  <c r="C21" i="27"/>
  <c r="C20" i="27"/>
  <c r="C18" i="27"/>
  <c r="F16" i="27"/>
  <c r="C15" i="27"/>
  <c r="C14" i="27"/>
  <c r="F13" i="27"/>
  <c r="C7" i="27" s="1"/>
  <c r="C12" i="27"/>
  <c r="C11" i="27"/>
  <c r="C13" i="27" s="1"/>
  <c r="I10" i="27"/>
  <c r="C16" i="27" s="1"/>
  <c r="C9" i="27"/>
  <c r="C10" i="27" s="1"/>
  <c r="I6" i="27"/>
  <c r="C6" i="27"/>
  <c r="I5" i="27"/>
  <c r="F5" i="27"/>
  <c r="F17" i="27" s="1"/>
  <c r="C5" i="27"/>
  <c r="C4" i="27"/>
  <c r="C3" i="27"/>
  <c r="C8" i="27" l="1"/>
  <c r="I11" i="27"/>
  <c r="C19" i="27" s="1"/>
  <c r="I36" i="29"/>
  <c r="I46" i="29" l="1"/>
  <c r="I44" i="29"/>
  <c r="I47" i="29" s="1"/>
  <c r="I7" i="29" s="1"/>
  <c r="C25" i="29" s="1"/>
  <c r="F32" i="29"/>
  <c r="F27" i="29" s="1"/>
  <c r="C23" i="29" s="1"/>
  <c r="L23" i="29" s="1"/>
  <c r="L26" i="29"/>
  <c r="F26" i="29"/>
  <c r="C26" i="29"/>
  <c r="L25" i="29"/>
  <c r="I24" i="29"/>
  <c r="C24" i="29" s="1"/>
  <c r="L24" i="29" s="1"/>
  <c r="I23" i="29"/>
  <c r="C22" i="29"/>
  <c r="L22" i="29" s="1"/>
  <c r="F21" i="29"/>
  <c r="C21" i="29"/>
  <c r="L21" i="29" s="1"/>
  <c r="L20" i="29"/>
  <c r="C20" i="29"/>
  <c r="C19" i="29"/>
  <c r="L19" i="29" s="1"/>
  <c r="L18" i="29"/>
  <c r="C18" i="29"/>
  <c r="F17" i="29"/>
  <c r="C17" i="29"/>
  <c r="L17" i="29" s="1"/>
  <c r="F16" i="29"/>
  <c r="C15" i="29" s="1"/>
  <c r="L15" i="29" s="1"/>
  <c r="C16" i="29"/>
  <c r="L16" i="29" s="1"/>
  <c r="L14" i="29"/>
  <c r="C14" i="29"/>
  <c r="F13" i="29"/>
  <c r="C12" i="29"/>
  <c r="L12" i="29" s="1"/>
  <c r="I11" i="29"/>
  <c r="C11" i="29"/>
  <c r="L11" i="29" s="1"/>
  <c r="I10" i="29"/>
  <c r="C9" i="29"/>
  <c r="C10" i="29" s="1"/>
  <c r="L10" i="29" s="1"/>
  <c r="C8" i="29"/>
  <c r="L8" i="29" s="1"/>
  <c r="L7" i="29"/>
  <c r="C7" i="29"/>
  <c r="I6" i="29"/>
  <c r="C6" i="29"/>
  <c r="L6" i="29" s="1"/>
  <c r="I5" i="29"/>
  <c r="C5" i="29"/>
  <c r="L5" i="29" s="1"/>
  <c r="L4" i="29"/>
  <c r="C4" i="29"/>
  <c r="C3" i="29"/>
  <c r="L3" i="29" s="1"/>
  <c r="L9" i="29" l="1"/>
  <c r="C13" i="29"/>
  <c r="L13" i="29" s="1"/>
  <c r="I46" i="28" l="1"/>
  <c r="I47" i="28" s="1"/>
  <c r="I7" i="28" s="1"/>
  <c r="C25" i="28" s="1"/>
  <c r="I44" i="28"/>
  <c r="I36" i="28"/>
  <c r="F32" i="28"/>
  <c r="F27" i="28"/>
  <c r="C23" i="28" s="1"/>
  <c r="F26" i="28"/>
  <c r="C26" i="28"/>
  <c r="I24" i="28"/>
  <c r="C24" i="28" s="1"/>
  <c r="I23" i="28"/>
  <c r="C22" i="28"/>
  <c r="F21" i="28"/>
  <c r="C21" i="28"/>
  <c r="C20" i="28"/>
  <c r="C18" i="28"/>
  <c r="F17" i="28"/>
  <c r="C17" i="28"/>
  <c r="F16" i="28"/>
  <c r="C15" i="28" s="1"/>
  <c r="C14" i="28"/>
  <c r="F13" i="28"/>
  <c r="C7" i="28" s="1"/>
  <c r="C12" i="28"/>
  <c r="C11" i="28"/>
  <c r="C13" i="28" s="1"/>
  <c r="I10" i="28"/>
  <c r="C16" i="28" s="1"/>
  <c r="C9" i="28"/>
  <c r="C10" i="28" s="1"/>
  <c r="C8" i="28"/>
  <c r="I6" i="28"/>
  <c r="C6" i="28"/>
  <c r="F5" i="28"/>
  <c r="C5" i="28"/>
  <c r="C4" i="28"/>
  <c r="C3" i="28"/>
  <c r="I11" i="28" l="1"/>
  <c r="C19" i="28" s="1"/>
  <c r="F13" i="26" l="1"/>
  <c r="C22" i="26"/>
  <c r="C17" i="26" l="1"/>
  <c r="C16" i="26"/>
  <c r="C15" i="26"/>
  <c r="C14" i="26"/>
  <c r="C12" i="26"/>
  <c r="C11" i="26"/>
  <c r="C9" i="26"/>
  <c r="I46" i="26" l="1"/>
  <c r="I10" i="26"/>
  <c r="I6" i="26"/>
  <c r="F32" i="26" l="1"/>
  <c r="F27" i="26" s="1"/>
  <c r="C13" i="26" l="1"/>
  <c r="C10" i="26"/>
  <c r="I44" i="26"/>
  <c r="C8" i="26"/>
  <c r="I36" i="26"/>
  <c r="F26" i="26"/>
  <c r="F21" i="26" s="1"/>
  <c r="C23" i="26" s="1"/>
  <c r="I24" i="26"/>
  <c r="I23" i="26"/>
  <c r="C21" i="26"/>
  <c r="C20" i="26"/>
  <c r="C18" i="26"/>
  <c r="F17" i="26"/>
  <c r="F16" i="26"/>
  <c r="I11" i="26"/>
  <c r="C19" i="26" s="1"/>
  <c r="C7" i="26"/>
  <c r="C6" i="26"/>
  <c r="C5" i="26"/>
  <c r="C4" i="26"/>
  <c r="C3" i="26"/>
  <c r="I47" i="26" l="1"/>
  <c r="I7" i="26" s="1"/>
  <c r="C25" i="26" s="1"/>
  <c r="C24" i="26"/>
  <c r="C26" i="26"/>
  <c r="I39" i="25"/>
  <c r="C22" i="25"/>
  <c r="C11" i="25"/>
  <c r="C12" i="25"/>
  <c r="C9" i="25"/>
  <c r="I44" i="25" l="1"/>
  <c r="I40" i="25" l="1"/>
  <c r="F32" i="25"/>
  <c r="I5" i="25" l="1"/>
  <c r="F27" i="25"/>
  <c r="F26" i="25" l="1"/>
  <c r="I46" i="25" l="1"/>
  <c r="F21" i="25" l="1"/>
  <c r="I47" i="25" l="1"/>
  <c r="I7" i="25" s="1"/>
  <c r="C25" i="25" s="1"/>
  <c r="I36" i="25"/>
  <c r="I24" i="25"/>
  <c r="I23" i="25"/>
  <c r="C14" i="25" s="1"/>
  <c r="C23" i="25"/>
  <c r="C21" i="25"/>
  <c r="C20" i="25"/>
  <c r="C18" i="25"/>
  <c r="F17" i="25"/>
  <c r="C17" i="25" s="1"/>
  <c r="F16" i="25"/>
  <c r="C15" i="25" s="1"/>
  <c r="I11" i="25"/>
  <c r="C19" i="25" s="1"/>
  <c r="I10" i="25"/>
  <c r="C10" i="25"/>
  <c r="C8" i="25"/>
  <c r="C7" i="25"/>
  <c r="I6" i="25"/>
  <c r="C24" i="25" s="1"/>
  <c r="C6" i="25"/>
  <c r="C5" i="25"/>
  <c r="C4" i="25"/>
  <c r="C3" i="25"/>
  <c r="C26" i="25" l="1"/>
  <c r="C16" i="25"/>
  <c r="C13" i="25"/>
  <c r="I46" i="24"/>
  <c r="I5" i="24"/>
  <c r="I36" i="24" l="1"/>
  <c r="I47" i="24" l="1"/>
  <c r="I7" i="24" s="1"/>
  <c r="C25" i="24" s="1"/>
  <c r="F32" i="24"/>
  <c r="F27" i="24" s="1"/>
  <c r="F26" i="24"/>
  <c r="F21" i="24" s="1"/>
  <c r="I24" i="24"/>
  <c r="I23" i="24"/>
  <c r="C14" i="24" s="1"/>
  <c r="L14" i="24" s="1"/>
  <c r="C22" i="24"/>
  <c r="L22" i="24" s="1"/>
  <c r="C21" i="24"/>
  <c r="L21" i="24" s="1"/>
  <c r="C20" i="24"/>
  <c r="L20" i="24" s="1"/>
  <c r="C18" i="24"/>
  <c r="L18" i="24" s="1"/>
  <c r="F17" i="24"/>
  <c r="C17" i="24" s="1"/>
  <c r="L17" i="24" s="1"/>
  <c r="F16" i="24"/>
  <c r="I11" i="24"/>
  <c r="C19" i="24" s="1"/>
  <c r="L19" i="24" s="1"/>
  <c r="C12" i="24"/>
  <c r="L12" i="24" s="1"/>
  <c r="C11" i="24"/>
  <c r="L11" i="24" s="1"/>
  <c r="I10" i="24"/>
  <c r="C26" i="24" s="1"/>
  <c r="L25" i="24" s="1"/>
  <c r="C9" i="24"/>
  <c r="L9" i="24" s="1"/>
  <c r="C7" i="24"/>
  <c r="L7" i="24" s="1"/>
  <c r="I6" i="24"/>
  <c r="C6" i="24"/>
  <c r="L6" i="24" s="1"/>
  <c r="C5" i="24"/>
  <c r="L5" i="24" s="1"/>
  <c r="C4" i="24"/>
  <c r="L4" i="24" s="1"/>
  <c r="C3" i="24"/>
  <c r="L3" i="24" s="1"/>
  <c r="C23" i="24" l="1"/>
  <c r="L23" i="24" s="1"/>
  <c r="C24" i="24"/>
  <c r="L24" i="24" s="1"/>
  <c r="C16" i="24"/>
  <c r="L16" i="24" s="1"/>
  <c r="C15" i="24"/>
  <c r="L15" i="24" s="1"/>
  <c r="C8" i="24"/>
  <c r="L8" i="24" s="1"/>
  <c r="C10" i="24"/>
  <c r="L10" i="24" s="1"/>
  <c r="C13" i="24"/>
  <c r="L13" i="24" s="1"/>
  <c r="I46" i="23"/>
  <c r="I47" i="23" s="1"/>
  <c r="I7" i="23" s="1"/>
  <c r="C25" i="23" s="1"/>
  <c r="I36" i="23"/>
  <c r="F32" i="23"/>
  <c r="F27" i="23" s="1"/>
  <c r="F26" i="23"/>
  <c r="F21" i="23" s="1"/>
  <c r="I24" i="23"/>
  <c r="I23" i="23"/>
  <c r="C22" i="23"/>
  <c r="L22" i="23" s="1"/>
  <c r="C21" i="23"/>
  <c r="L21" i="23" s="1"/>
  <c r="C20" i="23"/>
  <c r="L20" i="23" s="1"/>
  <c r="C18" i="23"/>
  <c r="L18" i="23" s="1"/>
  <c r="I17" i="23"/>
  <c r="F17" i="23"/>
  <c r="C17" i="23" s="1"/>
  <c r="L17" i="23" s="1"/>
  <c r="I16" i="23"/>
  <c r="F16" i="23"/>
  <c r="I15" i="23"/>
  <c r="C15" i="23"/>
  <c r="L15" i="23" s="1"/>
  <c r="C14" i="23"/>
  <c r="L14" i="23" s="1"/>
  <c r="F13" i="23"/>
  <c r="C7" i="23" s="1"/>
  <c r="L7" i="23" s="1"/>
  <c r="C12" i="23"/>
  <c r="L12" i="23" s="1"/>
  <c r="I11" i="23"/>
  <c r="C19" i="23" s="1"/>
  <c r="L19" i="23" s="1"/>
  <c r="C11" i="23"/>
  <c r="L11" i="23" s="1"/>
  <c r="I10" i="23"/>
  <c r="C26" i="23" s="1"/>
  <c r="L25" i="23" s="1"/>
  <c r="C9" i="23"/>
  <c r="C10" i="23" s="1"/>
  <c r="L10" i="23" s="1"/>
  <c r="C8" i="23"/>
  <c r="L8" i="23" s="1"/>
  <c r="I6" i="23"/>
  <c r="C6" i="23"/>
  <c r="L6" i="23" s="1"/>
  <c r="I5" i="23"/>
  <c r="C5" i="23"/>
  <c r="L5" i="23" s="1"/>
  <c r="C4" i="23"/>
  <c r="L4" i="23" s="1"/>
  <c r="I3" i="23"/>
  <c r="C3" i="23"/>
  <c r="L3" i="23" s="1"/>
  <c r="C13" i="23" l="1"/>
  <c r="L13" i="23" s="1"/>
  <c r="L9" i="23"/>
  <c r="C23" i="23"/>
  <c r="L23" i="23" s="1"/>
  <c r="C16" i="23"/>
  <c r="L16" i="23" s="1"/>
  <c r="C24" i="23"/>
  <c r="L24" i="23" s="1"/>
  <c r="I46" i="22" l="1"/>
  <c r="I47" i="22" s="1"/>
  <c r="I7" i="22" s="1"/>
  <c r="C25" i="22" s="1"/>
  <c r="I5" i="22"/>
  <c r="F13" i="22"/>
  <c r="I36" i="22"/>
  <c r="F32" i="22"/>
  <c r="F27" i="22" s="1"/>
  <c r="F26" i="22"/>
  <c r="F21" i="22" s="1"/>
  <c r="I24" i="22"/>
  <c r="I23" i="22"/>
  <c r="C14" i="22" s="1"/>
  <c r="L14" i="22" s="1"/>
  <c r="C22" i="22"/>
  <c r="L22" i="22" s="1"/>
  <c r="C21" i="22"/>
  <c r="L21" i="22" s="1"/>
  <c r="C20" i="22"/>
  <c r="L20" i="22" s="1"/>
  <c r="C18" i="22"/>
  <c r="L18" i="22" s="1"/>
  <c r="F17" i="22"/>
  <c r="C17" i="22" s="1"/>
  <c r="L17" i="22" s="1"/>
  <c r="F16" i="22"/>
  <c r="C15" i="22" s="1"/>
  <c r="L15" i="22" s="1"/>
  <c r="I11" i="22"/>
  <c r="C19" i="22" s="1"/>
  <c r="L19" i="22" s="1"/>
  <c r="C12" i="22"/>
  <c r="L12" i="22" s="1"/>
  <c r="C11" i="22"/>
  <c r="C13" i="22" s="1"/>
  <c r="L13" i="22" s="1"/>
  <c r="I10" i="22"/>
  <c r="C26" i="22" s="1"/>
  <c r="L25" i="22" s="1"/>
  <c r="C9" i="22"/>
  <c r="C10" i="22" s="1"/>
  <c r="L10" i="22" s="1"/>
  <c r="C7" i="22"/>
  <c r="L7" i="22" s="1"/>
  <c r="I6" i="22"/>
  <c r="C6" i="22"/>
  <c r="L6" i="22" s="1"/>
  <c r="C5" i="22"/>
  <c r="L5" i="22" s="1"/>
  <c r="C4" i="22"/>
  <c r="L4" i="22" s="1"/>
  <c r="C24" i="22"/>
  <c r="L24" i="22" s="1"/>
  <c r="C3" i="22"/>
  <c r="L3" i="22" s="1"/>
  <c r="L11" i="22" l="1"/>
  <c r="L9" i="22"/>
  <c r="C23" i="22"/>
  <c r="L23" i="22" s="1"/>
  <c r="C16" i="22"/>
  <c r="L16" i="22" s="1"/>
  <c r="C8" i="22"/>
  <c r="L8" i="22" s="1"/>
  <c r="C9" i="16"/>
  <c r="I3" i="16"/>
  <c r="C22" i="16" l="1"/>
  <c r="C12" i="16"/>
  <c r="C11" i="16"/>
  <c r="I5" i="16" l="1"/>
  <c r="I46" i="16" l="1"/>
  <c r="I44" i="16"/>
  <c r="I36" i="16"/>
  <c r="F32" i="16"/>
  <c r="F27" i="16" s="1"/>
  <c r="F26" i="16"/>
  <c r="F21" i="16" s="1"/>
  <c r="I24" i="16"/>
  <c r="I23" i="16"/>
  <c r="C14" i="16" s="1"/>
  <c r="C21" i="16"/>
  <c r="C20" i="16"/>
  <c r="C18" i="16"/>
  <c r="F17" i="16"/>
  <c r="C17" i="16" s="1"/>
  <c r="F16" i="16"/>
  <c r="C15" i="16" s="1"/>
  <c r="I11" i="16"/>
  <c r="C19" i="16" s="1"/>
  <c r="I10" i="16"/>
  <c r="C10" i="16"/>
  <c r="C8" i="16"/>
  <c r="C7" i="16"/>
  <c r="I6" i="16"/>
  <c r="C6" i="16"/>
  <c r="C5" i="16"/>
  <c r="C4" i="16"/>
  <c r="C3" i="16"/>
  <c r="C16" i="16" l="1"/>
  <c r="I47" i="16"/>
  <c r="I7" i="16" s="1"/>
  <c r="C25" i="16" s="1"/>
  <c r="C23" i="16"/>
  <c r="C24" i="16"/>
  <c r="C26" i="16"/>
  <c r="C13" i="16"/>
  <c r="C22" i="15"/>
  <c r="C12" i="15"/>
  <c r="C11" i="15"/>
  <c r="C9" i="15"/>
  <c r="I44" i="15" l="1"/>
  <c r="I5" i="15" l="1"/>
  <c r="I3" i="15"/>
  <c r="I46" i="15"/>
  <c r="I47" i="15" s="1"/>
  <c r="I7" i="15" s="1"/>
  <c r="C25" i="15" s="1"/>
  <c r="I36" i="15"/>
  <c r="F32" i="15"/>
  <c r="F27" i="15"/>
  <c r="F26" i="15"/>
  <c r="I24" i="15"/>
  <c r="I23" i="15"/>
  <c r="C14" i="15" s="1"/>
  <c r="L22" i="15"/>
  <c r="F21" i="15"/>
  <c r="C21" i="15"/>
  <c r="L21" i="15" s="1"/>
  <c r="C20" i="15"/>
  <c r="L20" i="15" s="1"/>
  <c r="C18" i="15"/>
  <c r="L18" i="15" s="1"/>
  <c r="F17" i="15"/>
  <c r="C17" i="15" s="1"/>
  <c r="L17" i="15"/>
  <c r="F16" i="15"/>
  <c r="L14" i="15"/>
  <c r="L12" i="15"/>
  <c r="I11" i="15"/>
  <c r="C19" i="15" s="1"/>
  <c r="L19" i="15" s="1"/>
  <c r="L11" i="15"/>
  <c r="I10" i="15"/>
  <c r="C26" i="15" s="1"/>
  <c r="L25" i="15" s="1"/>
  <c r="C10" i="15"/>
  <c r="L10" i="15" s="1"/>
  <c r="C8" i="15"/>
  <c r="L8" i="15" s="1"/>
  <c r="C7" i="15"/>
  <c r="L7" i="15" s="1"/>
  <c r="I6" i="15"/>
  <c r="C6" i="15"/>
  <c r="L6" i="15" s="1"/>
  <c r="C5" i="15"/>
  <c r="L5" i="15" s="1"/>
  <c r="C4" i="15"/>
  <c r="L4" i="15" s="1"/>
  <c r="C3" i="15"/>
  <c r="L3" i="15" s="1"/>
  <c r="C16" i="15" l="1"/>
  <c r="L16" i="15" s="1"/>
  <c r="C15" i="15"/>
  <c r="L15" i="15" s="1"/>
  <c r="C23" i="15"/>
  <c r="L23" i="15" s="1"/>
  <c r="C13" i="15"/>
  <c r="L13" i="15" s="1"/>
  <c r="C24" i="15"/>
  <c r="L24" i="15" s="1"/>
  <c r="L9" i="15"/>
  <c r="F13" i="10"/>
  <c r="C22" i="10" l="1"/>
  <c r="C12" i="10"/>
  <c r="C11" i="10"/>
  <c r="C9" i="10"/>
  <c r="I5" i="10" l="1"/>
  <c r="I3" i="10"/>
  <c r="I11" i="10"/>
  <c r="C19" i="10" s="1"/>
  <c r="L19" i="10" s="1"/>
  <c r="I46" i="10"/>
  <c r="I47" i="10" s="1"/>
  <c r="I7" i="10" s="1"/>
  <c r="C25" i="10" s="1"/>
  <c r="I36" i="10"/>
  <c r="F32" i="10"/>
  <c r="F27" i="10" s="1"/>
  <c r="F26" i="10"/>
  <c r="I24" i="10"/>
  <c r="I23" i="10"/>
  <c r="L22" i="10"/>
  <c r="F21" i="10"/>
  <c r="C21" i="10"/>
  <c r="L21" i="10" s="1"/>
  <c r="C20" i="10"/>
  <c r="L20" i="10" s="1"/>
  <c r="C18" i="10"/>
  <c r="L18" i="10" s="1"/>
  <c r="F17" i="10"/>
  <c r="F16" i="10"/>
  <c r="L12" i="10"/>
  <c r="L11" i="10"/>
  <c r="I10" i="10"/>
  <c r="C10" i="10"/>
  <c r="L10" i="10" s="1"/>
  <c r="C8" i="10"/>
  <c r="L8" i="10" s="1"/>
  <c r="I6" i="10"/>
  <c r="C6" i="10"/>
  <c r="L6" i="10" s="1"/>
  <c r="C5" i="10"/>
  <c r="L5" i="10" s="1"/>
  <c r="C4" i="10"/>
  <c r="L4" i="10" s="1"/>
  <c r="C3" i="10"/>
  <c r="L3" i="10" s="1"/>
  <c r="C14" i="10" l="1"/>
  <c r="L14" i="10" s="1"/>
  <c r="C26" i="10"/>
  <c r="L25" i="10" s="1"/>
  <c r="C16" i="10"/>
  <c r="L16" i="10" s="1"/>
  <c r="C15" i="10"/>
  <c r="L15" i="10" s="1"/>
  <c r="C17" i="10"/>
  <c r="L17" i="10" s="1"/>
  <c r="C24" i="10"/>
  <c r="L24" i="10" s="1"/>
  <c r="C23" i="10"/>
  <c r="L23" i="10" s="1"/>
  <c r="L9" i="10"/>
  <c r="C7" i="10"/>
  <c r="L7" i="10" s="1"/>
  <c r="C13" i="10"/>
  <c r="L13" i="10" s="1"/>
  <c r="I39" i="6"/>
  <c r="I46" i="6" s="1"/>
  <c r="I47" i="6" s="1"/>
  <c r="I7" i="6" s="1"/>
  <c r="C25" i="6" s="1"/>
  <c r="I36" i="6"/>
  <c r="F32" i="6"/>
  <c r="F27" i="6" s="1"/>
  <c r="F26" i="6"/>
  <c r="F21" i="6" s="1"/>
  <c r="C23" i="6" s="1"/>
  <c r="L23" i="6" s="1"/>
  <c r="I24" i="6"/>
  <c r="I23" i="6"/>
  <c r="C14" i="6" s="1"/>
  <c r="L14" i="6" s="1"/>
  <c r="C22" i="6"/>
  <c r="L22" i="6" s="1"/>
  <c r="C21" i="6"/>
  <c r="L21" i="6" s="1"/>
  <c r="C20" i="6"/>
  <c r="L20" i="6" s="1"/>
  <c r="C18" i="6"/>
  <c r="L18" i="6" s="1"/>
  <c r="F17" i="6"/>
  <c r="C17" i="6" s="1"/>
  <c r="L17" i="6" s="1"/>
  <c r="F16" i="6"/>
  <c r="C15" i="6" s="1"/>
  <c r="L15" i="6" s="1"/>
  <c r="F13" i="6"/>
  <c r="I11" i="6" s="1"/>
  <c r="C19" i="6" s="1"/>
  <c r="L19" i="6" s="1"/>
  <c r="C12" i="6"/>
  <c r="L12" i="6" s="1"/>
  <c r="C11" i="6"/>
  <c r="C13" i="6" s="1"/>
  <c r="L13" i="6" s="1"/>
  <c r="I10" i="6"/>
  <c r="C26" i="6" s="1"/>
  <c r="L25" i="6" s="1"/>
  <c r="L9" i="6"/>
  <c r="C9" i="6"/>
  <c r="C10" i="6" s="1"/>
  <c r="L10" i="6" s="1"/>
  <c r="C7" i="6"/>
  <c r="L7" i="6" s="1"/>
  <c r="I6" i="6"/>
  <c r="C6" i="6"/>
  <c r="L6" i="6" s="1"/>
  <c r="I5" i="6"/>
  <c r="C5" i="6"/>
  <c r="L5" i="6" s="1"/>
  <c r="C4" i="6"/>
  <c r="L4" i="6" s="1"/>
  <c r="I3" i="6"/>
  <c r="C3" i="6"/>
  <c r="L3" i="6" s="1"/>
  <c r="I46" i="8"/>
  <c r="I47" i="8" s="1"/>
  <c r="I7" i="8" s="1"/>
  <c r="C25" i="8" s="1"/>
  <c r="I36" i="8"/>
  <c r="F32" i="8"/>
  <c r="F27" i="8" s="1"/>
  <c r="F26" i="8"/>
  <c r="I24" i="8"/>
  <c r="I23" i="8"/>
  <c r="C22" i="8"/>
  <c r="L22" i="8" s="1"/>
  <c r="F21" i="8"/>
  <c r="C21" i="8"/>
  <c r="L21" i="8" s="1"/>
  <c r="L20" i="8"/>
  <c r="C20" i="8"/>
  <c r="L18" i="8"/>
  <c r="C18" i="8"/>
  <c r="F17" i="8"/>
  <c r="C17" i="8" s="1"/>
  <c r="L17" i="8" s="1"/>
  <c r="F16" i="8"/>
  <c r="C15" i="8" s="1"/>
  <c r="L15" i="8" s="1"/>
  <c r="C14" i="8"/>
  <c r="L14" i="8" s="1"/>
  <c r="F13" i="8"/>
  <c r="C7" i="8" s="1"/>
  <c r="L7" i="8" s="1"/>
  <c r="C12" i="8"/>
  <c r="L12" i="8" s="1"/>
  <c r="C11" i="8"/>
  <c r="L11" i="8" s="1"/>
  <c r="I10" i="8"/>
  <c r="C26" i="8" s="1"/>
  <c r="L25" i="8" s="1"/>
  <c r="C9" i="8"/>
  <c r="C10" i="8" s="1"/>
  <c r="L10" i="8" s="1"/>
  <c r="I6" i="8"/>
  <c r="C6" i="8"/>
  <c r="L6" i="8" s="1"/>
  <c r="I5" i="8"/>
  <c r="C5" i="8"/>
  <c r="L5" i="8" s="1"/>
  <c r="C4" i="8"/>
  <c r="L4" i="8" s="1"/>
  <c r="I3" i="8"/>
  <c r="C3" i="8"/>
  <c r="L3" i="8" s="1"/>
  <c r="I46" i="7"/>
  <c r="I47" i="7" s="1"/>
  <c r="I36" i="7"/>
  <c r="F32" i="7"/>
  <c r="F27" i="7"/>
  <c r="F26" i="7"/>
  <c r="I24" i="7"/>
  <c r="I23" i="7"/>
  <c r="C14" i="7" s="1"/>
  <c r="L14" i="7" s="1"/>
  <c r="C22" i="7"/>
  <c r="L22" i="7" s="1"/>
  <c r="F21" i="7"/>
  <c r="C21" i="7"/>
  <c r="L21" i="7" s="1"/>
  <c r="C20" i="7"/>
  <c r="L20" i="7" s="1"/>
  <c r="C18" i="7"/>
  <c r="L18" i="7" s="1"/>
  <c r="F17" i="7"/>
  <c r="C17" i="7"/>
  <c r="L17" i="7" s="1"/>
  <c r="F16" i="7"/>
  <c r="C15" i="7" s="1"/>
  <c r="L15" i="7" s="1"/>
  <c r="F13" i="7"/>
  <c r="C13" i="7"/>
  <c r="L13" i="7" s="1"/>
  <c r="C12" i="7"/>
  <c r="L12" i="7" s="1"/>
  <c r="I11" i="7"/>
  <c r="C19" i="7" s="1"/>
  <c r="L19" i="7" s="1"/>
  <c r="C11" i="7"/>
  <c r="L11" i="7" s="1"/>
  <c r="I10" i="7"/>
  <c r="C16" i="7" s="1"/>
  <c r="L16" i="7" s="1"/>
  <c r="C9" i="7"/>
  <c r="C10" i="7" s="1"/>
  <c r="L10" i="7" s="1"/>
  <c r="C8" i="7"/>
  <c r="L8" i="7" s="1"/>
  <c r="I7" i="7"/>
  <c r="C25" i="7" s="1"/>
  <c r="C7" i="7"/>
  <c r="L7" i="7" s="1"/>
  <c r="I6" i="7"/>
  <c r="C6" i="7"/>
  <c r="L6" i="7" s="1"/>
  <c r="I5" i="7"/>
  <c r="C5" i="7"/>
  <c r="L5" i="7" s="1"/>
  <c r="L4" i="7"/>
  <c r="C4" i="7"/>
  <c r="L3" i="7"/>
  <c r="I3" i="7"/>
  <c r="C3" i="7"/>
  <c r="I46" i="9"/>
  <c r="I47" i="9" s="1"/>
  <c r="I7" i="9" s="1"/>
  <c r="C25" i="9" s="1"/>
  <c r="I36" i="9"/>
  <c r="F32" i="9"/>
  <c r="F27" i="9" s="1"/>
  <c r="F26" i="9"/>
  <c r="F21" i="9" s="1"/>
  <c r="I24" i="9"/>
  <c r="I23" i="9"/>
  <c r="C14" i="9" s="1"/>
  <c r="L14" i="9" s="1"/>
  <c r="C22" i="9"/>
  <c r="L22" i="9" s="1"/>
  <c r="C21" i="9"/>
  <c r="L21" i="9" s="1"/>
  <c r="C20" i="9"/>
  <c r="L20" i="9" s="1"/>
  <c r="C18" i="9"/>
  <c r="L18" i="9" s="1"/>
  <c r="F17" i="9"/>
  <c r="C17" i="9" s="1"/>
  <c r="L17" i="9" s="1"/>
  <c r="F16" i="9"/>
  <c r="C15" i="9" s="1"/>
  <c r="L15" i="9" s="1"/>
  <c r="F13" i="9"/>
  <c r="C13" i="9"/>
  <c r="L13" i="9" s="1"/>
  <c r="C12" i="9"/>
  <c r="L12" i="9" s="1"/>
  <c r="I11" i="9"/>
  <c r="C19" i="9" s="1"/>
  <c r="L19" i="9" s="1"/>
  <c r="C11" i="9"/>
  <c r="L11" i="9" s="1"/>
  <c r="I10" i="9"/>
  <c r="C26" i="9" s="1"/>
  <c r="L25" i="9" s="1"/>
  <c r="C9" i="9"/>
  <c r="C10" i="9" s="1"/>
  <c r="L10" i="9" s="1"/>
  <c r="C8" i="9"/>
  <c r="L8" i="9" s="1"/>
  <c r="C7" i="9"/>
  <c r="L7" i="9" s="1"/>
  <c r="I6" i="9"/>
  <c r="C6" i="9"/>
  <c r="L6" i="9" s="1"/>
  <c r="I5" i="9"/>
  <c r="C5" i="9"/>
  <c r="L5" i="9" s="1"/>
  <c r="C4" i="9"/>
  <c r="L4" i="9" s="1"/>
  <c r="I3" i="9"/>
  <c r="C3" i="9"/>
  <c r="L3" i="9" s="1"/>
  <c r="C23" i="8" l="1"/>
  <c r="L23" i="8" s="1"/>
  <c r="C24" i="9"/>
  <c r="C8" i="8"/>
  <c r="L8" i="8" s="1"/>
  <c r="I11" i="8"/>
  <c r="C19" i="8" s="1"/>
  <c r="L19" i="8" s="1"/>
  <c r="C26" i="7"/>
  <c r="L25" i="7" s="1"/>
  <c r="C23" i="7"/>
  <c r="L23" i="7" s="1"/>
  <c r="C13" i="8"/>
  <c r="L13" i="8" s="1"/>
  <c r="C24" i="8"/>
  <c r="L24" i="8" s="1"/>
  <c r="C24" i="6"/>
  <c r="L24" i="6" s="1"/>
  <c r="L11" i="6"/>
  <c r="C23" i="9"/>
  <c r="L23" i="9" s="1"/>
  <c r="L9" i="9"/>
  <c r="L9" i="7"/>
  <c r="L9" i="8"/>
  <c r="C16" i="8"/>
  <c r="L16" i="8" s="1"/>
  <c r="L24" i="9"/>
  <c r="C24" i="7"/>
  <c r="L24" i="7" s="1"/>
  <c r="C16" i="6"/>
  <c r="L16" i="6" s="1"/>
  <c r="C16" i="9"/>
  <c r="L16" i="9" s="1"/>
  <c r="C8" i="6"/>
  <c r="L8" i="6" s="1"/>
  <c r="F21" i="33"/>
  <c r="C23" i="33" s="1"/>
</calcChain>
</file>

<file path=xl/comments1.xml><?xml version="1.0" encoding="utf-8"?>
<comments xmlns="http://schemas.openxmlformats.org/spreadsheetml/2006/main">
  <authors>
    <author>Yang, Erica C. (TW - Tai Chung)</author>
    <author>Chang, Casper F. (TW - Tai Chung)</author>
  </authors>
  <commentList>
    <comment ref="B16" authorId="0" shapeId="0">
      <text>
        <r>
          <rPr>
            <b/>
            <sz val="9"/>
            <color indexed="81"/>
            <rFont val="Tahoma"/>
            <family val="2"/>
          </rPr>
          <t>Yang, Erica C. (TW - Tai Chung):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所得稅率改成20%
所以*0.8</t>
        </r>
      </text>
    </comment>
    <comment ref="I16" authorId="1" shapeId="0">
      <text>
        <r>
          <rPr>
            <b/>
            <sz val="9"/>
            <color indexed="81"/>
            <rFont val="Tahoma"/>
            <family val="2"/>
          </rPr>
          <t>Chang, Casper F. (TW - Tai Chung):</t>
        </r>
        <r>
          <rPr>
            <sz val="9"/>
            <color indexed="81"/>
            <rFont val="Tahoma"/>
            <family val="2"/>
          </rPr>
          <t xml:space="preserve">
from </t>
        </r>
        <r>
          <rPr>
            <sz val="9"/>
            <color indexed="81"/>
            <rFont val="細明體"/>
            <family val="3"/>
            <charset val="136"/>
          </rPr>
          <t>合併附註</t>
        </r>
        <r>
          <rPr>
            <sz val="9"/>
            <color indexed="81"/>
            <rFont val="Tahoma"/>
            <family val="2"/>
          </rPr>
          <t>1</t>
        </r>
      </text>
    </comment>
    <comment ref="I39" authorId="1" shapeId="0">
      <text>
        <r>
          <rPr>
            <b/>
            <sz val="9"/>
            <color indexed="81"/>
            <rFont val="Tahoma"/>
            <family val="2"/>
          </rPr>
          <t>Chang, Casper F. (TW - Tai Chung):</t>
        </r>
        <r>
          <rPr>
            <sz val="9"/>
            <color indexed="81"/>
            <rFont val="Tahoma"/>
            <family val="2"/>
          </rPr>
          <t xml:space="preserve">
from </t>
        </r>
        <r>
          <rPr>
            <sz val="9"/>
            <color indexed="81"/>
            <rFont val="細明體"/>
            <family val="3"/>
            <charset val="136"/>
          </rPr>
          <t>財報用人費用彙總金額</t>
        </r>
      </text>
    </comment>
  </commentList>
</comments>
</file>

<file path=xl/comments2.xml><?xml version="1.0" encoding="utf-8"?>
<comments xmlns="http://schemas.openxmlformats.org/spreadsheetml/2006/main">
  <authors>
    <author>Hsu, Enya Y.</author>
    <author>Chen, Cora H.</author>
    <author>Yang, Erica C. (TW - Tai Chung)</author>
    <author>Chang, Casper F. (TW - Tai Chung)</author>
    <author>Ho, Nicole H.</author>
    <author>Lin, Devyn C.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Hsu, Enya Y.: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紅字每季需改公式</t>
        </r>
      </text>
    </comment>
    <comment ref="I3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大表數(附註十一:PPE)</t>
        </r>
      </text>
    </comment>
    <comment ref="I5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生物資產</t>
        </r>
        <r>
          <rPr>
            <sz val="9"/>
            <rFont val="Tahoma"/>
            <family val="2"/>
          </rPr>
          <t>+</t>
        </r>
        <r>
          <rPr>
            <sz val="9"/>
            <rFont val="細明體"/>
            <family val="3"/>
            <charset val="136"/>
          </rPr>
          <t>遞延所得稅資產+其他非流動資產(NOTE LINE)
(科碼:1831~1990)</t>
        </r>
      </text>
    </comment>
    <comment ref="F8" authorId="0" shapeId="0">
      <text>
        <r>
          <rPr>
            <b/>
            <sz val="9"/>
            <color indexed="81"/>
            <rFont val="Tahoma"/>
            <family val="2"/>
          </rPr>
          <t>Hsu, Enya Y.: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合併綜合損益表，淨利歸屬於本公司業主，會對到個體損益表稅後淨利金額</t>
        </r>
      </text>
    </comment>
    <comment ref="I9" authorId="0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大表營業淨利</t>
        </r>
      </text>
    </comment>
    <comment ref="I10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大表數</t>
        </r>
      </text>
    </comment>
    <comment ref="F12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大表數</t>
        </r>
      </text>
    </comment>
    <comment ref="I12" authorId="0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期初數填前一年Q4大表數</t>
        </r>
      </text>
    </comment>
    <comment ref="F13" authorId="0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大表稅前淨利+利息費用</t>
        </r>
      </text>
    </comment>
    <comment ref="I13" authorId="0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期初數填前一年</t>
        </r>
        <r>
          <rPr>
            <sz val="9"/>
            <rFont val="Tahoma"/>
            <family val="2"/>
          </rPr>
          <t>Q4</t>
        </r>
        <r>
          <rPr>
            <sz val="9"/>
            <rFont val="細明體"/>
            <family val="3"/>
            <charset val="136"/>
          </rPr>
          <t>大表數(附註)</t>
        </r>
      </text>
    </comment>
    <comment ref="I14" authorId="0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填大表數</t>
        </r>
      </text>
    </comment>
    <comment ref="F15" authorId="0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大表本期淨利</t>
        </r>
      </text>
    </comment>
    <comment ref="I15" authorId="0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填財務報告</t>
        </r>
        <r>
          <rPr>
            <sz val="9"/>
            <rFont val="Tahoma"/>
            <family val="2"/>
          </rPr>
          <t>-</t>
        </r>
        <r>
          <rPr>
            <sz val="9"/>
            <rFont val="細明體"/>
            <family val="3"/>
            <charset val="136"/>
          </rPr>
          <t>應收帳款</t>
        </r>
        <r>
          <rPr>
            <sz val="9"/>
            <rFont val="Tahoma"/>
            <family val="2"/>
          </rPr>
          <t>-</t>
        </r>
        <r>
          <rPr>
            <sz val="9"/>
            <rFont val="細明體"/>
            <family val="3"/>
            <charset val="136"/>
          </rPr>
          <t>帳面金額</t>
        </r>
      </text>
    </comment>
    <comment ref="B16" authorId="2" shapeId="0">
      <text>
        <r>
          <rPr>
            <b/>
            <sz val="9"/>
            <rFont val="Tahoma"/>
            <family val="2"/>
          </rPr>
          <t>Yang, Erica C. (TW - Tai Chung):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所得稅率改成20%
所以*0.8</t>
        </r>
      </text>
    </comment>
    <comment ref="I16" authorId="3" shapeId="0">
      <text>
        <r>
          <rPr>
            <b/>
            <sz val="9"/>
            <rFont val="Tahoma"/>
            <family val="2"/>
          </rPr>
          <t>Chang, Casper F. (TW - Tai Chung):</t>
        </r>
        <r>
          <rPr>
            <sz val="9"/>
            <rFont val="Tahoma"/>
            <family val="2"/>
          </rPr>
          <t xml:space="preserve">
from </t>
        </r>
        <r>
          <rPr>
            <sz val="9"/>
            <rFont val="細明體"/>
            <family val="3"/>
            <charset val="136"/>
          </rPr>
          <t>合併附註</t>
        </r>
        <r>
          <rPr>
            <sz val="9"/>
            <rFont val="Tahoma"/>
            <family val="2"/>
          </rPr>
          <t>1
Nicole</t>
        </r>
        <r>
          <rPr>
            <sz val="9"/>
            <rFont val="細明體"/>
            <family val="3"/>
            <charset val="136"/>
          </rPr>
          <t>：抓前期Q4數字</t>
        </r>
      </text>
    </comment>
    <comment ref="I17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合併</t>
        </r>
        <r>
          <rPr>
            <sz val="9"/>
            <rFont val="Tahoma"/>
            <family val="2"/>
          </rPr>
          <t xml:space="preserve">TB </t>
        </r>
        <r>
          <rPr>
            <sz val="9"/>
            <rFont val="細明體"/>
            <family val="3"/>
            <charset val="136"/>
          </rPr>
          <t>存貨</t>
        </r>
        <r>
          <rPr>
            <sz val="9"/>
            <rFont val="Tahoma"/>
            <family val="2"/>
          </rPr>
          <t>NOTE LINE (</t>
        </r>
        <r>
          <rPr>
            <sz val="9"/>
            <rFont val="細明體"/>
            <family val="3"/>
            <charset val="136"/>
          </rPr>
          <t>不包含備抵跌價</t>
        </r>
        <r>
          <rPr>
            <sz val="9"/>
            <rFont val="Tahoma"/>
            <family val="2"/>
          </rPr>
          <t xml:space="preserve">)
Enya:
</t>
        </r>
        <r>
          <rPr>
            <sz val="9"/>
            <rFont val="細明體"/>
            <family val="3"/>
            <charset val="136"/>
          </rPr>
          <t>可看合併底稿附註揭露</t>
        </r>
        <r>
          <rPr>
            <sz val="9"/>
            <rFont val="Tahoma"/>
            <family val="2"/>
          </rPr>
          <t>1</t>
        </r>
        <r>
          <rPr>
            <sz val="9"/>
            <rFont val="細明體"/>
            <family val="3"/>
            <charset val="136"/>
          </rPr>
          <t>，存貨合計數</t>
        </r>
      </text>
    </comment>
    <comment ref="F18" authorId="0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大表營業收入</t>
        </r>
      </text>
    </comment>
    <comment ref="I19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大表數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細明體"/>
            <family val="3"/>
            <charset val="136"/>
          </rPr>
          <t xml:space="preserve">普通股股本
</t>
        </r>
      </text>
    </comment>
    <comment ref="F20" authorId="0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合併現流表</t>
        </r>
      </text>
    </comment>
    <comment ref="F21" authorId="4" shapeId="0">
      <text>
        <r>
          <rPr>
            <b/>
            <sz val="9"/>
            <color indexed="81"/>
            <rFont val="Tahoma"/>
            <family val="2"/>
          </rPr>
          <t>Ho, Nicole H.: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DengXian"/>
            <family val="3"/>
            <charset val="134"/>
          </rPr>
          <t>合併現流表</t>
        </r>
      </text>
    </comment>
    <comment ref="F24" authorId="4" shapeId="0">
      <text>
        <r>
          <rPr>
            <b/>
            <sz val="9"/>
            <color indexed="81"/>
            <rFont val="Tahoma"/>
            <family val="2"/>
          </rPr>
          <t>Ho, Nicole H.: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DengXian"/>
            <family val="3"/>
            <charset val="134"/>
          </rPr>
          <t>看財報-現流表</t>
        </r>
      </text>
    </comment>
    <comment ref="F25" authorId="4" shapeId="0">
      <text>
        <r>
          <rPr>
            <b/>
            <sz val="9"/>
            <color indexed="81"/>
            <rFont val="Tahoma"/>
            <family val="2"/>
          </rPr>
          <t>Ho, Nicole H.: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DengXian"/>
            <family val="3"/>
            <charset val="134"/>
          </rPr>
          <t>看財報-現流表</t>
        </r>
      </text>
    </comment>
    <comment ref="I25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合併現流表</t>
        </r>
        <r>
          <rPr>
            <sz val="9"/>
            <rFont val="Tahoma"/>
            <family val="2"/>
          </rPr>
          <t>(B02700)</t>
        </r>
      </text>
    </comment>
    <comment ref="F26" authorId="0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合併現流表</t>
        </r>
      </text>
    </comment>
    <comment ref="I29" authorId="4" shapeId="0">
      <text>
        <r>
          <rPr>
            <b/>
            <sz val="9"/>
            <color indexed="81"/>
            <rFont val="Tahoma"/>
            <family val="2"/>
          </rPr>
          <t>Ho, Nicole H.: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DengXian"/>
            <family val="3"/>
            <charset val="134"/>
          </rPr>
          <t>看完成後的財務報告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DengXian"/>
            <family val="3"/>
            <charset val="134"/>
          </rPr>
          <t>應付票據</t>
        </r>
      </text>
    </comment>
    <comment ref="I30" authorId="4" shapeId="0">
      <text>
        <r>
          <rPr>
            <b/>
            <sz val="9"/>
            <color indexed="81"/>
            <rFont val="Tahoma"/>
            <family val="2"/>
          </rPr>
          <t>Ho, Nicole H.: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DengXian"/>
            <family val="3"/>
            <charset val="134"/>
          </rPr>
          <t>合併大表</t>
        </r>
      </text>
    </comment>
    <comment ref="F34" authorId="5" shapeId="0">
      <text>
        <r>
          <rPr>
            <b/>
            <sz val="9"/>
            <color indexed="81"/>
            <rFont val="Tahoma"/>
            <family val="2"/>
          </rPr>
          <t>Lin, Devyn C.: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為負數</t>
        </r>
      </text>
    </comment>
    <comment ref="F36" authorId="4" shapeId="0">
      <text>
        <r>
          <rPr>
            <b/>
            <sz val="9"/>
            <color indexed="81"/>
            <rFont val="Tahoma"/>
            <family val="2"/>
          </rPr>
          <t>Ho, Nicole H.: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DengXian"/>
            <family val="3"/>
            <charset val="134"/>
          </rPr>
          <t>合併現流表
若為減少數不放入
()為增加</t>
        </r>
      </text>
    </comment>
    <comment ref="F37" authorId="0" shapeId="0">
      <text>
        <r>
          <rPr>
            <b/>
            <sz val="9"/>
            <color indexed="81"/>
            <rFont val="Tahoma"/>
            <family val="2"/>
          </rPr>
          <t>Hsu, Enya Y.: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合併現流表
若為減少數不放入
</t>
        </r>
        <r>
          <rPr>
            <sz val="9"/>
            <color indexed="81"/>
            <rFont val="Tahoma"/>
            <family val="2"/>
          </rPr>
          <t>112Q1</t>
        </r>
        <r>
          <rPr>
            <sz val="9"/>
            <color indexed="81"/>
            <rFont val="細明體"/>
            <family val="3"/>
            <charset val="136"/>
          </rPr>
          <t>為負數</t>
        </r>
      </text>
    </comment>
    <comment ref="I38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預付款項</t>
        </r>
        <r>
          <rPr>
            <sz val="9"/>
            <rFont val="Tahoma"/>
            <family val="2"/>
          </rPr>
          <t>(NOTE
LINES)(</t>
        </r>
        <r>
          <rPr>
            <sz val="9"/>
            <rFont val="細明體"/>
            <family val="3"/>
            <charset val="136"/>
          </rPr>
          <t>不包含進項稅額、留抵稅額、其他預付款)(科碼:1411-1422)</t>
        </r>
      </text>
    </comment>
    <comment ref="I39" authorId="3" shapeId="0">
      <text>
        <r>
          <rPr>
            <b/>
            <sz val="9"/>
            <rFont val="Tahoma"/>
            <family val="2"/>
          </rPr>
          <t>Chang, Casper F. (TW - Tai Chung):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底稿 合併附註揭露</t>
        </r>
      </text>
    </comment>
    <comment ref="I40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底稿 合併附註揭露</t>
        </r>
      </text>
    </comment>
    <comment ref="F42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現流表</t>
        </r>
      </text>
    </comment>
  </commentList>
</comments>
</file>

<file path=xl/comments3.xml><?xml version="1.0" encoding="utf-8"?>
<comments xmlns="http://schemas.openxmlformats.org/spreadsheetml/2006/main">
  <authors>
    <author>Hsu, Enya Y.</author>
    <author>Chen, Cora H.</author>
    <author>Yang, Erica C. (TW - Tai Chung)</author>
    <author>Chang, Casper F. (TW - Tai Chung)</author>
    <author>Ho, Nicole H.</author>
    <author>Lin, Devyn C.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Hsu, Enya Y.: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紅字每季需改公式</t>
        </r>
      </text>
    </comment>
    <comment ref="I3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大表數(附註十二:PPE)</t>
        </r>
      </text>
    </comment>
    <comment ref="I5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生物資產</t>
        </r>
        <r>
          <rPr>
            <sz val="9"/>
            <rFont val="Tahoma"/>
            <family val="2"/>
          </rPr>
          <t>+</t>
        </r>
        <r>
          <rPr>
            <sz val="9"/>
            <rFont val="細明體"/>
            <family val="3"/>
            <charset val="136"/>
          </rPr>
          <t>遞延所得稅資產+其他非流動資產(NOTE LINE)
(科碼:1831~1990)</t>
        </r>
      </text>
    </comment>
    <comment ref="F8" authorId="0" shapeId="0">
      <text>
        <r>
          <rPr>
            <b/>
            <sz val="9"/>
            <color indexed="81"/>
            <rFont val="Tahoma"/>
            <family val="2"/>
          </rPr>
          <t>Hsu, Enya Y.: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合併綜合損益表，淨利歸屬於本公司業主，會對到個體損益表稅後淨利金額</t>
        </r>
      </text>
    </comment>
    <comment ref="I9" authorId="0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大表營業淨利</t>
        </r>
      </text>
    </comment>
    <comment ref="I10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大表數</t>
        </r>
      </text>
    </comment>
    <comment ref="F12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大表數</t>
        </r>
      </text>
    </comment>
    <comment ref="I12" authorId="0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期初數填前一年Q4大表數</t>
        </r>
      </text>
    </comment>
    <comment ref="F13" authorId="0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大表稅前淨利+利息費用</t>
        </r>
      </text>
    </comment>
    <comment ref="I13" authorId="0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期初數填前一年</t>
        </r>
        <r>
          <rPr>
            <sz val="9"/>
            <rFont val="Tahoma"/>
            <family val="2"/>
          </rPr>
          <t>Q4</t>
        </r>
        <r>
          <rPr>
            <sz val="9"/>
            <rFont val="細明體"/>
            <family val="3"/>
            <charset val="136"/>
          </rPr>
          <t>大表數(附註)</t>
        </r>
      </text>
    </comment>
    <comment ref="I14" authorId="0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填大表數</t>
        </r>
      </text>
    </comment>
    <comment ref="F15" authorId="0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大表本期淨利</t>
        </r>
      </text>
    </comment>
    <comment ref="I15" authorId="0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填報告附註九(帳面金額數)</t>
        </r>
      </text>
    </comment>
    <comment ref="B16" authorId="2" shapeId="0">
      <text>
        <r>
          <rPr>
            <b/>
            <sz val="9"/>
            <rFont val="Tahoma"/>
            <family val="2"/>
          </rPr>
          <t>Yang, Erica C. (TW - Tai Chung):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所得稅率改成20%
所以*0.8</t>
        </r>
      </text>
    </comment>
    <comment ref="I16" authorId="3" shapeId="0">
      <text>
        <r>
          <rPr>
            <b/>
            <sz val="9"/>
            <rFont val="Tahoma"/>
            <family val="2"/>
          </rPr>
          <t>Chang, Casper F. (TW - Tai Chung):</t>
        </r>
        <r>
          <rPr>
            <sz val="9"/>
            <rFont val="Tahoma"/>
            <family val="2"/>
          </rPr>
          <t xml:space="preserve">
from </t>
        </r>
        <r>
          <rPr>
            <sz val="9"/>
            <rFont val="細明體"/>
            <family val="3"/>
            <charset val="136"/>
          </rPr>
          <t>合併附註</t>
        </r>
        <r>
          <rPr>
            <sz val="9"/>
            <rFont val="Tahoma"/>
            <family val="2"/>
          </rPr>
          <t>1</t>
        </r>
      </text>
    </comment>
    <comment ref="I17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合併</t>
        </r>
        <r>
          <rPr>
            <sz val="9"/>
            <rFont val="Tahoma"/>
            <family val="2"/>
          </rPr>
          <t xml:space="preserve">TB </t>
        </r>
        <r>
          <rPr>
            <sz val="9"/>
            <rFont val="細明體"/>
            <family val="3"/>
            <charset val="136"/>
          </rPr>
          <t>存貨</t>
        </r>
        <r>
          <rPr>
            <sz val="9"/>
            <rFont val="Tahoma"/>
            <family val="2"/>
          </rPr>
          <t>NOTE LINE (</t>
        </r>
        <r>
          <rPr>
            <sz val="9"/>
            <rFont val="細明體"/>
            <family val="3"/>
            <charset val="136"/>
          </rPr>
          <t>不包含備抵跌價</t>
        </r>
        <r>
          <rPr>
            <sz val="9"/>
            <rFont val="Tahoma"/>
            <family val="2"/>
          </rPr>
          <t xml:space="preserve">)
Enya:
</t>
        </r>
        <r>
          <rPr>
            <sz val="9"/>
            <rFont val="細明體"/>
            <family val="3"/>
            <charset val="136"/>
          </rPr>
          <t>可看合併底稿附註揭露</t>
        </r>
        <r>
          <rPr>
            <sz val="9"/>
            <rFont val="Tahoma"/>
            <family val="2"/>
          </rPr>
          <t>1</t>
        </r>
        <r>
          <rPr>
            <sz val="9"/>
            <rFont val="細明體"/>
            <family val="3"/>
            <charset val="136"/>
          </rPr>
          <t>，存貨合計數</t>
        </r>
      </text>
    </comment>
    <comment ref="F18" authorId="0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大表營業收入</t>
        </r>
      </text>
    </comment>
    <comment ref="F19" authorId="4" shapeId="0">
      <text>
        <r>
          <rPr>
            <b/>
            <sz val="9"/>
            <color indexed="81"/>
            <rFont val="Tahoma"/>
            <family val="2"/>
          </rPr>
          <t>Ho, Nicole H.:</t>
        </r>
        <r>
          <rPr>
            <sz val="9"/>
            <color indexed="81"/>
            <rFont val="Tahoma"/>
            <family val="2"/>
          </rPr>
          <t xml:space="preserve">
WP 25156</t>
        </r>
      </text>
    </comment>
    <comment ref="I19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大表數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細明體"/>
            <family val="3"/>
            <charset val="136"/>
          </rPr>
          <t xml:space="preserve">普通股股本
</t>
        </r>
      </text>
    </comment>
    <comment ref="F20" authorId="0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合併現流表</t>
        </r>
      </text>
    </comment>
    <comment ref="I25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合併現流表</t>
        </r>
        <r>
          <rPr>
            <sz val="9"/>
            <rFont val="Tahoma"/>
            <family val="2"/>
          </rPr>
          <t>(B02700)</t>
        </r>
      </text>
    </comment>
    <comment ref="F35" authorId="5" shapeId="0">
      <text>
        <r>
          <rPr>
            <b/>
            <sz val="9"/>
            <color indexed="81"/>
            <rFont val="Tahoma"/>
            <family val="2"/>
          </rPr>
          <t>Lin, Devyn C.: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為負數</t>
        </r>
      </text>
    </comment>
    <comment ref="I38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預付款項</t>
        </r>
        <r>
          <rPr>
            <sz val="9"/>
            <rFont val="Tahoma"/>
            <family val="2"/>
          </rPr>
          <t>(NOTE
LINES)(</t>
        </r>
        <r>
          <rPr>
            <sz val="9"/>
            <rFont val="細明體"/>
            <family val="3"/>
            <charset val="136"/>
          </rPr>
          <t>不包含進項稅額、留抵稅額、其他預付款)(科碼:1411-1422)</t>
        </r>
      </text>
    </comment>
    <comment ref="I39" authorId="3" shapeId="0">
      <text>
        <r>
          <rPr>
            <b/>
            <sz val="9"/>
            <rFont val="Tahoma"/>
            <family val="2"/>
          </rPr>
          <t>Chang, Casper F. (TW - Tai Chung):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底稿 合併附註揭露</t>
        </r>
      </text>
    </comment>
    <comment ref="I40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底稿 合併附註揭露</t>
        </r>
      </text>
    </comment>
    <comment ref="F42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現流表</t>
        </r>
      </text>
    </comment>
  </commentList>
</comments>
</file>

<file path=xl/comments4.xml><?xml version="1.0" encoding="utf-8"?>
<comments xmlns="http://schemas.openxmlformats.org/spreadsheetml/2006/main">
  <authors>
    <author>Hsu, Enya Y.</author>
    <author>Chen, Cora H.</author>
    <author>Yang, Erica C. (TW - Tai Chung)</author>
    <author>Chang, Casper F. (TW - Tai Chung)</author>
    <author>Lin, Devyn C.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Hsu, Enya Y.: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紅字每季需改公式</t>
        </r>
      </text>
    </comment>
    <comment ref="I3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大表數(附註十一:PPE)</t>
        </r>
      </text>
    </comment>
    <comment ref="I5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生物資產</t>
        </r>
        <r>
          <rPr>
            <sz val="9"/>
            <rFont val="Tahoma"/>
            <family val="2"/>
          </rPr>
          <t>+</t>
        </r>
        <r>
          <rPr>
            <sz val="9"/>
            <rFont val="細明體"/>
            <family val="3"/>
            <charset val="136"/>
          </rPr>
          <t>遞延所得稅資產+其他非流動資產(NOTE LINE)
(科碼:1831~1990)</t>
        </r>
      </text>
    </comment>
    <comment ref="F8" authorId="0" shapeId="0">
      <text>
        <r>
          <rPr>
            <b/>
            <sz val="9"/>
            <color indexed="81"/>
            <rFont val="Tahoma"/>
            <family val="2"/>
          </rPr>
          <t>Hsu, Enya Y.: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合併綜合損益表，淨利歸屬於本公司業主，會對到個體損益表稅後淨利金額</t>
        </r>
      </text>
    </comment>
    <comment ref="I9" authorId="0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大表營業淨利</t>
        </r>
      </text>
    </comment>
    <comment ref="I10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大表數</t>
        </r>
      </text>
    </comment>
    <comment ref="F12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大表數</t>
        </r>
      </text>
    </comment>
    <comment ref="I12" authorId="0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期初數填前一年Q4大表數</t>
        </r>
      </text>
    </comment>
    <comment ref="F13" authorId="0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大表稅前淨利+利息費用</t>
        </r>
      </text>
    </comment>
    <comment ref="I13" authorId="0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期初數填前一年</t>
        </r>
        <r>
          <rPr>
            <sz val="9"/>
            <rFont val="Tahoma"/>
            <family val="2"/>
          </rPr>
          <t>Q4</t>
        </r>
        <r>
          <rPr>
            <sz val="9"/>
            <rFont val="細明體"/>
            <family val="3"/>
            <charset val="136"/>
          </rPr>
          <t>大表數(附註)</t>
        </r>
      </text>
    </comment>
    <comment ref="I14" authorId="0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填大表數</t>
        </r>
      </text>
    </comment>
    <comment ref="F15" authorId="0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大表本期淨利</t>
        </r>
      </text>
    </comment>
    <comment ref="I15" authorId="0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填報告附註九(帳面金額數)</t>
        </r>
      </text>
    </comment>
    <comment ref="B16" authorId="2" shapeId="0">
      <text>
        <r>
          <rPr>
            <b/>
            <sz val="9"/>
            <rFont val="Tahoma"/>
            <family val="2"/>
          </rPr>
          <t>Yang, Erica C. (TW - Tai Chung):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所得稅率改成20%
所以*0.8</t>
        </r>
      </text>
    </comment>
    <comment ref="I16" authorId="3" shapeId="0">
      <text>
        <r>
          <rPr>
            <b/>
            <sz val="9"/>
            <rFont val="Tahoma"/>
            <family val="2"/>
          </rPr>
          <t>Chang, Casper F. (TW - Tai Chung):</t>
        </r>
        <r>
          <rPr>
            <sz val="9"/>
            <rFont val="Tahoma"/>
            <family val="2"/>
          </rPr>
          <t xml:space="preserve">
from </t>
        </r>
        <r>
          <rPr>
            <sz val="9"/>
            <rFont val="細明體"/>
            <family val="3"/>
            <charset val="136"/>
          </rPr>
          <t>合併附註</t>
        </r>
        <r>
          <rPr>
            <sz val="9"/>
            <rFont val="Tahoma"/>
            <family val="2"/>
          </rPr>
          <t>1</t>
        </r>
      </text>
    </comment>
    <comment ref="I17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合併</t>
        </r>
        <r>
          <rPr>
            <sz val="9"/>
            <rFont val="Tahoma"/>
            <family val="2"/>
          </rPr>
          <t xml:space="preserve">TB </t>
        </r>
        <r>
          <rPr>
            <sz val="9"/>
            <rFont val="細明體"/>
            <family val="3"/>
            <charset val="136"/>
          </rPr>
          <t>存貨</t>
        </r>
        <r>
          <rPr>
            <sz val="9"/>
            <rFont val="Tahoma"/>
            <family val="2"/>
          </rPr>
          <t>NOTE LINE (</t>
        </r>
        <r>
          <rPr>
            <sz val="9"/>
            <rFont val="細明體"/>
            <family val="3"/>
            <charset val="136"/>
          </rPr>
          <t>不包含備抵跌價</t>
        </r>
        <r>
          <rPr>
            <sz val="9"/>
            <rFont val="Tahoma"/>
            <family val="2"/>
          </rPr>
          <t xml:space="preserve">)
Enya:
</t>
        </r>
        <r>
          <rPr>
            <sz val="9"/>
            <rFont val="細明體"/>
            <family val="3"/>
            <charset val="136"/>
          </rPr>
          <t>可看合併底稿附註揭露</t>
        </r>
        <r>
          <rPr>
            <sz val="9"/>
            <rFont val="Tahoma"/>
            <family val="2"/>
          </rPr>
          <t>1</t>
        </r>
        <r>
          <rPr>
            <sz val="9"/>
            <rFont val="細明體"/>
            <family val="3"/>
            <charset val="136"/>
          </rPr>
          <t>，存貨合計數</t>
        </r>
      </text>
    </comment>
    <comment ref="F18" authorId="0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大表營業收入</t>
        </r>
      </text>
    </comment>
    <comment ref="I19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大表數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細明體"/>
            <family val="3"/>
            <charset val="136"/>
          </rPr>
          <t xml:space="preserve">普通股股本
</t>
        </r>
      </text>
    </comment>
    <comment ref="F20" authorId="0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合併現流表</t>
        </r>
      </text>
    </comment>
    <comment ref="I25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合併現流表</t>
        </r>
        <r>
          <rPr>
            <sz val="9"/>
            <rFont val="Tahoma"/>
            <family val="2"/>
          </rPr>
          <t>(B02700)</t>
        </r>
      </text>
    </comment>
    <comment ref="F35" authorId="4" shapeId="0">
      <text>
        <r>
          <rPr>
            <b/>
            <sz val="9"/>
            <color indexed="81"/>
            <rFont val="Tahoma"/>
            <family val="2"/>
          </rPr>
          <t>Lin, Devyn C.: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為負數</t>
        </r>
      </text>
    </comment>
    <comment ref="F37" authorId="0" shapeId="0">
      <text>
        <r>
          <rPr>
            <b/>
            <sz val="9"/>
            <color indexed="81"/>
            <rFont val="Tahoma"/>
            <family val="2"/>
          </rPr>
          <t>Hsu, Enya Y.: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合併現流表
若為減少數不放入
</t>
        </r>
        <r>
          <rPr>
            <sz val="9"/>
            <color indexed="81"/>
            <rFont val="Tahoma"/>
            <family val="2"/>
          </rPr>
          <t>111Q2</t>
        </r>
        <r>
          <rPr>
            <sz val="9"/>
            <color indexed="81"/>
            <rFont val="細明體"/>
            <family val="3"/>
            <charset val="136"/>
          </rPr>
          <t>為負數</t>
        </r>
      </text>
    </comment>
    <comment ref="I38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預付款項</t>
        </r>
        <r>
          <rPr>
            <sz val="9"/>
            <rFont val="Tahoma"/>
            <family val="2"/>
          </rPr>
          <t>(NOTE
LINES)(</t>
        </r>
        <r>
          <rPr>
            <sz val="9"/>
            <rFont val="細明體"/>
            <family val="3"/>
            <charset val="136"/>
          </rPr>
          <t>不包含進項稅額、留抵稅額、其他預付款)(科碼:1411-1422)</t>
        </r>
      </text>
    </comment>
    <comment ref="I39" authorId="3" shapeId="0">
      <text>
        <r>
          <rPr>
            <b/>
            <sz val="9"/>
            <rFont val="Tahoma"/>
            <family val="2"/>
          </rPr>
          <t>Chang, Casper F. (TW - Tai Chung):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底稿 合併附註揭露</t>
        </r>
      </text>
    </comment>
    <comment ref="I40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底稿 合併附註揭露</t>
        </r>
      </text>
    </comment>
    <comment ref="F42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現流表</t>
        </r>
      </text>
    </comment>
  </commentList>
</comments>
</file>

<file path=xl/comments5.xml><?xml version="1.0" encoding="utf-8"?>
<comments xmlns="http://schemas.openxmlformats.org/spreadsheetml/2006/main">
  <authors>
    <author>Hsu, Enya Y.</author>
    <author>Chen, Cora H.</author>
    <author>Yang, Erica C. (TW - Tai Chung)</author>
    <author>Chang, Casper F. (TW - Tai Chung)</author>
    <author>Lin, Devyn C.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Hsu, Enya Y.: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紅字每季需改公式</t>
        </r>
      </text>
    </comment>
    <comment ref="I3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大表數(附註十二:PPE)</t>
        </r>
      </text>
    </comment>
    <comment ref="I5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生物資產</t>
        </r>
        <r>
          <rPr>
            <sz val="9"/>
            <rFont val="Tahoma"/>
            <family val="2"/>
          </rPr>
          <t>+</t>
        </r>
        <r>
          <rPr>
            <sz val="9"/>
            <rFont val="細明體"/>
            <family val="3"/>
            <charset val="136"/>
          </rPr>
          <t>遞延所得稅資產+其他非流動資產(NOTE LINE)
(科碼:1831~1990)</t>
        </r>
      </text>
    </comment>
    <comment ref="F8" authorId="0" shapeId="0">
      <text>
        <r>
          <rPr>
            <b/>
            <sz val="9"/>
            <color indexed="81"/>
            <rFont val="Tahoma"/>
            <family val="2"/>
          </rPr>
          <t>Hsu, Enya Y.: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合併綜合損益表，淨利歸屬於本公司業主，會對到個體損益表稅後淨利金額</t>
        </r>
      </text>
    </comment>
    <comment ref="I9" authorId="0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大表營業淨利</t>
        </r>
      </text>
    </comment>
    <comment ref="I10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大表數</t>
        </r>
      </text>
    </comment>
    <comment ref="F12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大表數</t>
        </r>
      </text>
    </comment>
    <comment ref="I12" authorId="0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期初數填前一年Q4大表數</t>
        </r>
      </text>
    </comment>
    <comment ref="F13" authorId="0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大表稅前淨利+利息費用</t>
        </r>
      </text>
    </comment>
    <comment ref="I13" authorId="0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期初數填前一年</t>
        </r>
        <r>
          <rPr>
            <sz val="9"/>
            <rFont val="Tahoma"/>
            <family val="2"/>
          </rPr>
          <t>Q4</t>
        </r>
        <r>
          <rPr>
            <sz val="9"/>
            <rFont val="細明體"/>
            <family val="3"/>
            <charset val="136"/>
          </rPr>
          <t>大表數(附註)</t>
        </r>
      </text>
    </comment>
    <comment ref="I14" authorId="0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填大表數</t>
        </r>
      </text>
    </comment>
    <comment ref="F15" authorId="0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大表本期淨利</t>
        </r>
      </text>
    </comment>
    <comment ref="I15" authorId="0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填報告附註九(帳面金額數)</t>
        </r>
      </text>
    </comment>
    <comment ref="B16" authorId="2" shapeId="0">
      <text>
        <r>
          <rPr>
            <b/>
            <sz val="9"/>
            <rFont val="Tahoma"/>
            <family val="2"/>
          </rPr>
          <t>Yang, Erica C. (TW - Tai Chung):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所得稅率改成20%
所以*0.8</t>
        </r>
      </text>
    </comment>
    <comment ref="I16" authorId="3" shapeId="0">
      <text>
        <r>
          <rPr>
            <b/>
            <sz val="9"/>
            <rFont val="Tahoma"/>
            <family val="2"/>
          </rPr>
          <t>Chang, Casper F. (TW - Tai Chung):</t>
        </r>
        <r>
          <rPr>
            <sz val="9"/>
            <rFont val="Tahoma"/>
            <family val="2"/>
          </rPr>
          <t xml:space="preserve">
from </t>
        </r>
        <r>
          <rPr>
            <sz val="9"/>
            <rFont val="細明體"/>
            <family val="3"/>
            <charset val="136"/>
          </rPr>
          <t>合併附註</t>
        </r>
        <r>
          <rPr>
            <sz val="9"/>
            <rFont val="Tahoma"/>
            <family val="2"/>
          </rPr>
          <t>1</t>
        </r>
      </text>
    </comment>
    <comment ref="I17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合併</t>
        </r>
        <r>
          <rPr>
            <sz val="9"/>
            <rFont val="Tahoma"/>
            <family val="2"/>
          </rPr>
          <t xml:space="preserve">TB </t>
        </r>
        <r>
          <rPr>
            <sz val="9"/>
            <rFont val="細明體"/>
            <family val="3"/>
            <charset val="136"/>
          </rPr>
          <t>存貨</t>
        </r>
        <r>
          <rPr>
            <sz val="9"/>
            <rFont val="Tahoma"/>
            <family val="2"/>
          </rPr>
          <t>NOTE LINE (</t>
        </r>
        <r>
          <rPr>
            <sz val="9"/>
            <rFont val="細明體"/>
            <family val="3"/>
            <charset val="136"/>
          </rPr>
          <t>不包含備抵跌價</t>
        </r>
        <r>
          <rPr>
            <sz val="9"/>
            <rFont val="Tahoma"/>
            <family val="2"/>
          </rPr>
          <t xml:space="preserve">)
Enya:
</t>
        </r>
        <r>
          <rPr>
            <sz val="9"/>
            <rFont val="細明體"/>
            <family val="3"/>
            <charset val="136"/>
          </rPr>
          <t>可看合併底稿附註揭露</t>
        </r>
        <r>
          <rPr>
            <sz val="9"/>
            <rFont val="Tahoma"/>
            <family val="2"/>
          </rPr>
          <t>1</t>
        </r>
        <r>
          <rPr>
            <sz val="9"/>
            <rFont val="細明體"/>
            <family val="3"/>
            <charset val="136"/>
          </rPr>
          <t>，存貨合計數</t>
        </r>
      </text>
    </comment>
    <comment ref="F18" authorId="0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大表營業收入</t>
        </r>
      </text>
    </comment>
    <comment ref="I19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大表數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細明體"/>
            <family val="3"/>
            <charset val="136"/>
          </rPr>
          <t xml:space="preserve">普通股股本
</t>
        </r>
      </text>
    </comment>
    <comment ref="F20" authorId="0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合併現流表</t>
        </r>
      </text>
    </comment>
    <comment ref="I25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合併現流表</t>
        </r>
        <r>
          <rPr>
            <sz val="9"/>
            <rFont val="Tahoma"/>
            <family val="2"/>
          </rPr>
          <t>(B02700)</t>
        </r>
      </text>
    </comment>
    <comment ref="F35" authorId="4" shapeId="0">
      <text>
        <r>
          <rPr>
            <b/>
            <sz val="9"/>
            <color indexed="81"/>
            <rFont val="Tahoma"/>
            <family val="2"/>
          </rPr>
          <t>Lin, Devyn C.: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為負數</t>
        </r>
      </text>
    </comment>
    <comment ref="F37" authorId="0" shapeId="0">
      <text>
        <r>
          <rPr>
            <b/>
            <sz val="9"/>
            <color indexed="81"/>
            <rFont val="Tahoma"/>
            <family val="2"/>
          </rPr>
          <t>Hsu, Enya Y.: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合併現流表
若為減少數不放入
</t>
        </r>
        <r>
          <rPr>
            <sz val="9"/>
            <color indexed="81"/>
            <rFont val="Tahoma"/>
            <family val="2"/>
          </rPr>
          <t>111Q2</t>
        </r>
        <r>
          <rPr>
            <sz val="9"/>
            <color indexed="81"/>
            <rFont val="細明體"/>
            <family val="3"/>
            <charset val="136"/>
          </rPr>
          <t>為負數</t>
        </r>
      </text>
    </comment>
    <comment ref="I38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預付款項</t>
        </r>
        <r>
          <rPr>
            <sz val="9"/>
            <rFont val="Tahoma"/>
            <family val="2"/>
          </rPr>
          <t>(NOTE
LINES)(</t>
        </r>
        <r>
          <rPr>
            <sz val="9"/>
            <rFont val="細明體"/>
            <family val="3"/>
            <charset val="136"/>
          </rPr>
          <t>不包含進項稅額、留抵稅額、其他預付款)(科碼:1411-1422)</t>
        </r>
      </text>
    </comment>
    <comment ref="I39" authorId="3" shapeId="0">
      <text>
        <r>
          <rPr>
            <b/>
            <sz val="9"/>
            <rFont val="Tahoma"/>
            <family val="2"/>
          </rPr>
          <t>Chang, Casper F. (TW - Tai Chung):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底稿 合併附註揭露</t>
        </r>
      </text>
    </comment>
    <comment ref="I40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底稿 合併附註揭露</t>
        </r>
      </text>
    </comment>
    <comment ref="F42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現流表</t>
        </r>
      </text>
    </comment>
  </commentList>
</comments>
</file>

<file path=xl/comments6.xml><?xml version="1.0" encoding="utf-8"?>
<comments xmlns="http://schemas.openxmlformats.org/spreadsheetml/2006/main">
  <authors>
    <author>Hsu, Enya Y.</author>
    <author>Chen, Cora H.</author>
    <author>Yang, Erica C. (TW - Tai Chung)</author>
    <author>Chang, Casper F. (TW - Tai Chung)</author>
    <author>Lin, Devyn C.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Hsu, Enya Y.: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紅字每季需改公式</t>
        </r>
      </text>
    </comment>
    <comment ref="I3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大表數(附註:PPE)</t>
        </r>
      </text>
    </comment>
    <comment ref="I5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生物資產</t>
        </r>
        <r>
          <rPr>
            <sz val="9"/>
            <rFont val="Tahoma"/>
            <family val="2"/>
          </rPr>
          <t>+</t>
        </r>
        <r>
          <rPr>
            <sz val="9"/>
            <rFont val="細明體"/>
            <family val="3"/>
            <charset val="136"/>
          </rPr>
          <t>遞延所得稅資產+其他非流動資產(NOTE LINE)
(科碼:1831~1990)</t>
        </r>
      </text>
    </comment>
    <comment ref="F8" authorId="0" shapeId="0">
      <text>
        <r>
          <rPr>
            <b/>
            <sz val="9"/>
            <color indexed="81"/>
            <rFont val="Tahoma"/>
            <family val="2"/>
          </rPr>
          <t>Hsu, Enya Y.: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合併綜合損益表，淨利歸屬於本公司業主，會對到個體損益表稅後淨利金額</t>
        </r>
      </text>
    </comment>
    <comment ref="I9" authorId="0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大表營業淨利</t>
        </r>
      </text>
    </comment>
    <comment ref="I10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大表數</t>
        </r>
      </text>
    </comment>
    <comment ref="F12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大表數</t>
        </r>
      </text>
    </comment>
    <comment ref="I12" authorId="0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期初數填前一年Q4大表數</t>
        </r>
      </text>
    </comment>
    <comment ref="F13" authorId="0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大表稅前淨利+利息費用</t>
        </r>
      </text>
    </comment>
    <comment ref="I13" authorId="0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期初數填前一年</t>
        </r>
        <r>
          <rPr>
            <sz val="9"/>
            <rFont val="Tahoma"/>
            <family val="2"/>
          </rPr>
          <t>Q4</t>
        </r>
        <r>
          <rPr>
            <sz val="9"/>
            <rFont val="細明體"/>
            <family val="3"/>
            <charset val="136"/>
          </rPr>
          <t>大表數(附註)</t>
        </r>
      </text>
    </comment>
    <comment ref="I14" authorId="0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填大表數</t>
        </r>
      </text>
    </comment>
    <comment ref="F15" authorId="0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大表本期淨利</t>
        </r>
      </text>
    </comment>
    <comment ref="I15" authorId="0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填報告附註數</t>
        </r>
      </text>
    </comment>
    <comment ref="B16" authorId="2" shapeId="0">
      <text>
        <r>
          <rPr>
            <b/>
            <sz val="9"/>
            <rFont val="Tahoma"/>
            <family val="2"/>
          </rPr>
          <t>Yang, Erica C. (TW - Tai Chung):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所得稅率改成20%
所以*0.8</t>
        </r>
      </text>
    </comment>
    <comment ref="I16" authorId="3" shapeId="0">
      <text>
        <r>
          <rPr>
            <b/>
            <sz val="9"/>
            <rFont val="Tahoma"/>
            <family val="2"/>
          </rPr>
          <t>Chang, Casper F. (TW - Tai Chung):</t>
        </r>
        <r>
          <rPr>
            <sz val="9"/>
            <rFont val="Tahoma"/>
            <family val="2"/>
          </rPr>
          <t xml:space="preserve">
from </t>
        </r>
        <r>
          <rPr>
            <sz val="9"/>
            <rFont val="細明體"/>
            <family val="3"/>
            <charset val="136"/>
          </rPr>
          <t>合併附註</t>
        </r>
        <r>
          <rPr>
            <sz val="9"/>
            <rFont val="Tahoma"/>
            <family val="2"/>
          </rPr>
          <t>1</t>
        </r>
      </text>
    </comment>
    <comment ref="I17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合併</t>
        </r>
        <r>
          <rPr>
            <sz val="9"/>
            <rFont val="Tahoma"/>
            <family val="2"/>
          </rPr>
          <t xml:space="preserve">TB </t>
        </r>
        <r>
          <rPr>
            <sz val="9"/>
            <rFont val="細明體"/>
            <family val="3"/>
            <charset val="136"/>
          </rPr>
          <t>存貨</t>
        </r>
        <r>
          <rPr>
            <sz val="9"/>
            <rFont val="Tahoma"/>
            <family val="2"/>
          </rPr>
          <t>NOTE LINE (</t>
        </r>
        <r>
          <rPr>
            <sz val="9"/>
            <rFont val="細明體"/>
            <family val="3"/>
            <charset val="136"/>
          </rPr>
          <t>不包含備抵跌價</t>
        </r>
        <r>
          <rPr>
            <sz val="9"/>
            <rFont val="Tahoma"/>
            <family val="2"/>
          </rPr>
          <t xml:space="preserve">)
Enya:
</t>
        </r>
        <r>
          <rPr>
            <sz val="9"/>
            <rFont val="細明體"/>
            <family val="3"/>
            <charset val="136"/>
          </rPr>
          <t>可看合併底稿附註揭露</t>
        </r>
        <r>
          <rPr>
            <sz val="9"/>
            <rFont val="Tahoma"/>
            <family val="2"/>
          </rPr>
          <t>1</t>
        </r>
        <r>
          <rPr>
            <sz val="9"/>
            <rFont val="細明體"/>
            <family val="3"/>
            <charset val="136"/>
          </rPr>
          <t>，存貨合計數</t>
        </r>
      </text>
    </comment>
    <comment ref="F18" authorId="0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大表營業收入</t>
        </r>
      </text>
    </comment>
    <comment ref="I19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大表數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細明體"/>
            <family val="3"/>
            <charset val="136"/>
          </rPr>
          <t xml:space="preserve">普通股股本
</t>
        </r>
      </text>
    </comment>
    <comment ref="F20" authorId="0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合併現流表</t>
        </r>
      </text>
    </comment>
    <comment ref="I25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合併現流表</t>
        </r>
      </text>
    </comment>
    <comment ref="F35" authorId="4" shapeId="0">
      <text>
        <r>
          <rPr>
            <b/>
            <sz val="9"/>
            <color indexed="81"/>
            <rFont val="Tahoma"/>
            <family val="2"/>
          </rPr>
          <t>Lin, Devyn C.: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為負數</t>
        </r>
      </text>
    </comment>
    <comment ref="F37" authorId="0" shapeId="0">
      <text>
        <r>
          <rPr>
            <b/>
            <sz val="9"/>
            <color indexed="81"/>
            <rFont val="Tahoma"/>
            <family val="2"/>
          </rPr>
          <t>Hsu, Enya Y.: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合併現流表
若為減少數不放入
</t>
        </r>
        <r>
          <rPr>
            <sz val="9"/>
            <color indexed="81"/>
            <rFont val="Tahoma"/>
            <family val="2"/>
          </rPr>
          <t>110Q2</t>
        </r>
        <r>
          <rPr>
            <sz val="9"/>
            <color indexed="81"/>
            <rFont val="細明體"/>
            <family val="3"/>
            <charset val="136"/>
          </rPr>
          <t>為負數</t>
        </r>
      </text>
    </comment>
    <comment ref="I38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預付款項</t>
        </r>
        <r>
          <rPr>
            <sz val="9"/>
            <rFont val="Tahoma"/>
            <family val="2"/>
          </rPr>
          <t>(FS LINES)(</t>
        </r>
        <r>
          <rPr>
            <sz val="9"/>
            <rFont val="細明體"/>
            <family val="3"/>
            <charset val="136"/>
          </rPr>
          <t>不包含進項稅額、留抵稅額、其他預付款)
(科碼:1411-1422)</t>
        </r>
      </text>
    </comment>
    <comment ref="I39" authorId="3" shapeId="0">
      <text>
        <r>
          <rPr>
            <b/>
            <sz val="9"/>
            <rFont val="Tahoma"/>
            <family val="2"/>
          </rPr>
          <t>Chang, Casper F. (TW - Tai Chung):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底稿 合併附註揭露</t>
        </r>
      </text>
    </comment>
    <comment ref="I40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底稿 合併附註揭露</t>
        </r>
      </text>
    </comment>
    <comment ref="F42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現流表</t>
        </r>
      </text>
    </comment>
  </commentList>
</comments>
</file>

<file path=xl/comments7.xml><?xml version="1.0" encoding="utf-8"?>
<comments xmlns="http://schemas.openxmlformats.org/spreadsheetml/2006/main">
  <authors>
    <author>Hsu, Enya Y.</author>
    <author>Chen, Cora H.</author>
    <author>Yang, Erica C. (TW - Tai Chung)</author>
    <author>Chang, Casper F. (TW - Tai Chung)</author>
    <author>User-Admin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Hsu, Enya Y.: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紅字每季需改公式</t>
        </r>
      </text>
    </comment>
    <comment ref="I3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大表數(附註:PPE)</t>
        </r>
      </text>
    </comment>
    <comment ref="I5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生物資產</t>
        </r>
        <r>
          <rPr>
            <sz val="9"/>
            <rFont val="Tahoma"/>
            <family val="2"/>
          </rPr>
          <t>+</t>
        </r>
        <r>
          <rPr>
            <sz val="9"/>
            <rFont val="細明體"/>
            <family val="3"/>
            <charset val="136"/>
          </rPr>
          <t>遞延所得稅資產+其他非流動資產(NOTE LINE)
(科碼:1831~1990)</t>
        </r>
      </text>
    </comment>
    <comment ref="F8" authorId="0" shapeId="0">
      <text>
        <r>
          <rPr>
            <b/>
            <sz val="9"/>
            <color indexed="81"/>
            <rFont val="Tahoma"/>
            <family val="2"/>
          </rPr>
          <t>Hsu, Enya Y.: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合併綜合損益表，淨利歸屬於本公司業主，會對到個體損益表稅後淨利金額</t>
        </r>
      </text>
    </comment>
    <comment ref="I9" authorId="0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大表營業淨利</t>
        </r>
      </text>
    </comment>
    <comment ref="I10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大表數</t>
        </r>
      </text>
    </comment>
    <comment ref="F12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大表數</t>
        </r>
      </text>
    </comment>
    <comment ref="I12" authorId="0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期初數填前一年Q4大表數</t>
        </r>
      </text>
    </comment>
    <comment ref="F13" authorId="0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大表稅前淨利+利息費用</t>
        </r>
      </text>
    </comment>
    <comment ref="I13" authorId="0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期初數填前一年</t>
        </r>
        <r>
          <rPr>
            <sz val="9"/>
            <rFont val="Tahoma"/>
            <family val="2"/>
          </rPr>
          <t>Q4</t>
        </r>
        <r>
          <rPr>
            <sz val="9"/>
            <rFont val="細明體"/>
            <family val="3"/>
            <charset val="136"/>
          </rPr>
          <t>大表數(附註)</t>
        </r>
      </text>
    </comment>
    <comment ref="I14" authorId="0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填大表數</t>
        </r>
      </text>
    </comment>
    <comment ref="F15" authorId="0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大表本期淨利</t>
        </r>
      </text>
    </comment>
    <comment ref="I15" authorId="0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填報告附註數</t>
        </r>
      </text>
    </comment>
    <comment ref="B16" authorId="2" shapeId="0">
      <text>
        <r>
          <rPr>
            <b/>
            <sz val="9"/>
            <rFont val="Tahoma"/>
            <family val="2"/>
          </rPr>
          <t>Yang, Erica C. (TW - Tai Chung):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所得稅率改成20%
所以*0.8</t>
        </r>
      </text>
    </comment>
    <comment ref="I16" authorId="3" shapeId="0">
      <text>
        <r>
          <rPr>
            <b/>
            <sz val="9"/>
            <rFont val="Tahoma"/>
            <family val="2"/>
          </rPr>
          <t>Chang, Casper F. (TW - Tai Chung):</t>
        </r>
        <r>
          <rPr>
            <sz val="9"/>
            <rFont val="Tahoma"/>
            <family val="2"/>
          </rPr>
          <t xml:space="preserve">
from </t>
        </r>
        <r>
          <rPr>
            <sz val="9"/>
            <rFont val="細明體"/>
            <family val="3"/>
            <charset val="136"/>
          </rPr>
          <t>合併附註</t>
        </r>
        <r>
          <rPr>
            <sz val="9"/>
            <rFont val="Tahoma"/>
            <family val="2"/>
          </rPr>
          <t>1</t>
        </r>
      </text>
    </comment>
    <comment ref="I17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合併</t>
        </r>
        <r>
          <rPr>
            <sz val="9"/>
            <rFont val="Tahoma"/>
            <family val="2"/>
          </rPr>
          <t xml:space="preserve">TB </t>
        </r>
        <r>
          <rPr>
            <sz val="9"/>
            <rFont val="細明體"/>
            <family val="3"/>
            <charset val="136"/>
          </rPr>
          <t>存貨</t>
        </r>
        <r>
          <rPr>
            <sz val="9"/>
            <rFont val="Tahoma"/>
            <family val="2"/>
          </rPr>
          <t>NOTE LINE (</t>
        </r>
        <r>
          <rPr>
            <sz val="9"/>
            <rFont val="細明體"/>
            <family val="3"/>
            <charset val="136"/>
          </rPr>
          <t>不包含備抵跌價</t>
        </r>
        <r>
          <rPr>
            <sz val="9"/>
            <rFont val="Tahoma"/>
            <family val="2"/>
          </rPr>
          <t xml:space="preserve">)
Enya:
</t>
        </r>
        <r>
          <rPr>
            <sz val="9"/>
            <rFont val="細明體"/>
            <family val="3"/>
            <charset val="136"/>
          </rPr>
          <t>可看合併底稿附註揭露</t>
        </r>
        <r>
          <rPr>
            <sz val="9"/>
            <rFont val="Tahoma"/>
            <family val="2"/>
          </rPr>
          <t>1</t>
        </r>
        <r>
          <rPr>
            <sz val="9"/>
            <rFont val="細明體"/>
            <family val="3"/>
            <charset val="136"/>
          </rPr>
          <t>，存貨合計數</t>
        </r>
      </text>
    </comment>
    <comment ref="F18" authorId="0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大表營業收入</t>
        </r>
      </text>
    </comment>
    <comment ref="I19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大表數</t>
        </r>
        <r>
          <rPr>
            <sz val="9"/>
            <rFont val="Tahoma"/>
            <family val="2"/>
          </rPr>
          <t xml:space="preserve"> </t>
        </r>
        <r>
          <rPr>
            <sz val="9"/>
            <rFont val="細明體"/>
            <family val="3"/>
            <charset val="136"/>
          </rPr>
          <t xml:space="preserve">普通股股本
</t>
        </r>
      </text>
    </comment>
    <comment ref="F20" authorId="0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合併現流表</t>
        </r>
      </text>
    </comment>
    <comment ref="F25" authorId="4" shapeId="0">
      <text>
        <r>
          <rPr>
            <b/>
            <sz val="9"/>
            <rFont val="Times New Roman"/>
            <family val="1"/>
          </rPr>
          <t>User-Admin:</t>
        </r>
        <r>
          <rPr>
            <sz val="9"/>
            <rFont val="Times New Roman"/>
            <family val="1"/>
          </rPr>
          <t xml:space="preserve">
</t>
        </r>
        <r>
          <rPr>
            <sz val="9"/>
            <rFont val="細明體"/>
            <family val="3"/>
            <charset val="136"/>
          </rPr>
          <t>財報</t>
        </r>
        <r>
          <rPr>
            <sz val="9"/>
            <rFont val="Times New Roman"/>
            <family val="1"/>
          </rPr>
          <t>3,449,192</t>
        </r>
      </text>
    </comment>
    <comment ref="I25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合併現流表</t>
        </r>
      </text>
    </comment>
    <comment ref="F37" authorId="0" shapeId="0">
      <text>
        <r>
          <rPr>
            <b/>
            <sz val="9"/>
            <color indexed="81"/>
            <rFont val="Tahoma"/>
            <family val="2"/>
          </rPr>
          <t>Hsu, Enya Y.: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合併現流表
若為減少數不放入</t>
        </r>
      </text>
    </comment>
    <comment ref="I38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預付款項</t>
        </r>
        <r>
          <rPr>
            <sz val="9"/>
            <rFont val="Tahoma"/>
            <family val="2"/>
          </rPr>
          <t>(FS LINES)(</t>
        </r>
        <r>
          <rPr>
            <sz val="9"/>
            <rFont val="細明體"/>
            <family val="3"/>
            <charset val="136"/>
          </rPr>
          <t>不包含進項稅額、留抵稅額、其他預付款)
(科碼:1411-1422)</t>
        </r>
      </text>
    </comment>
    <comment ref="I39" authorId="3" shapeId="0">
      <text>
        <r>
          <rPr>
            <b/>
            <sz val="9"/>
            <rFont val="Tahoma"/>
            <family val="2"/>
          </rPr>
          <t>Chang, Casper F. (TW - Tai Chung):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底稿 合併附註揭露</t>
        </r>
      </text>
    </comment>
    <comment ref="I40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底稿 合併附註揭露</t>
        </r>
      </text>
    </comment>
    <comment ref="F42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現流表</t>
        </r>
      </text>
    </comment>
  </commentList>
</comments>
</file>

<file path=xl/comments8.xml><?xml version="1.0" encoding="utf-8"?>
<comments xmlns="http://schemas.openxmlformats.org/spreadsheetml/2006/main">
  <authors>
    <author>Hsu, Enya Y.</author>
    <author>Chen, Cora H.</author>
    <author>Yang, Erica C. (TW - Tai Chung)</author>
    <author>Chang, Casper F. (TW - Tai Chung)</author>
    <author>User-Admin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Hsu, Enya Y.: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紅字每季需改公式</t>
        </r>
      </text>
    </comment>
    <comment ref="I3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大表數(附註)</t>
        </r>
      </text>
    </comment>
    <comment ref="I5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生物資產</t>
        </r>
        <r>
          <rPr>
            <sz val="9"/>
            <rFont val="Tahoma"/>
            <family val="2"/>
          </rPr>
          <t>+</t>
        </r>
        <r>
          <rPr>
            <sz val="9"/>
            <rFont val="細明體"/>
            <family val="3"/>
            <charset val="136"/>
          </rPr>
          <t>遞延所得稅資產+其他非流動資產(NOTE LINE)</t>
        </r>
      </text>
    </comment>
    <comment ref="F8" authorId="0" shapeId="0">
      <text>
        <r>
          <rPr>
            <b/>
            <sz val="9"/>
            <color indexed="81"/>
            <rFont val="Tahoma"/>
            <family val="2"/>
          </rPr>
          <t>Hsu, Enya Y.: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合併綜合損益表，淨利歸屬於本公司業主，會對到個體損益表稅後淨利金額</t>
        </r>
      </text>
    </comment>
    <comment ref="I9" authorId="0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大表營業淨利</t>
        </r>
      </text>
    </comment>
    <comment ref="I10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大表數</t>
        </r>
      </text>
    </comment>
    <comment ref="F12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大表數</t>
        </r>
      </text>
    </comment>
    <comment ref="I12" authorId="0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期初數填前一年Q4大表數</t>
        </r>
      </text>
    </comment>
    <comment ref="F13" authorId="0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大表稅前淨利+利息費用</t>
        </r>
      </text>
    </comment>
    <comment ref="I13" authorId="0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期初數填前一年</t>
        </r>
        <r>
          <rPr>
            <sz val="9"/>
            <rFont val="Tahoma"/>
            <family val="2"/>
          </rPr>
          <t>Q4</t>
        </r>
        <r>
          <rPr>
            <sz val="9"/>
            <rFont val="細明體"/>
            <family val="3"/>
            <charset val="136"/>
          </rPr>
          <t>大表數(附註)</t>
        </r>
      </text>
    </comment>
    <comment ref="I14" authorId="0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填大表數</t>
        </r>
      </text>
    </comment>
    <comment ref="F15" authorId="0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大表本期淨利</t>
        </r>
      </text>
    </comment>
    <comment ref="I15" authorId="0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填報告附註數</t>
        </r>
      </text>
    </comment>
    <comment ref="B16" authorId="2" shapeId="0">
      <text>
        <r>
          <rPr>
            <b/>
            <sz val="9"/>
            <rFont val="Tahoma"/>
            <family val="2"/>
          </rPr>
          <t>Yang, Erica C. (TW - Tai Chung):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所得稅率改成20%
所以*0.8</t>
        </r>
      </text>
    </comment>
    <comment ref="I16" authorId="3" shapeId="0">
      <text>
        <r>
          <rPr>
            <b/>
            <sz val="9"/>
            <rFont val="Tahoma"/>
            <family val="2"/>
          </rPr>
          <t>Chang, Casper F. (TW - Tai Chung):</t>
        </r>
        <r>
          <rPr>
            <sz val="9"/>
            <rFont val="Tahoma"/>
            <family val="2"/>
          </rPr>
          <t xml:space="preserve">
from </t>
        </r>
        <r>
          <rPr>
            <sz val="9"/>
            <rFont val="細明體"/>
            <family val="3"/>
            <charset val="136"/>
          </rPr>
          <t>合併附註</t>
        </r>
        <r>
          <rPr>
            <sz val="9"/>
            <rFont val="Tahoma"/>
            <family val="2"/>
          </rPr>
          <t>1</t>
        </r>
      </text>
    </comment>
    <comment ref="I17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合併</t>
        </r>
        <r>
          <rPr>
            <sz val="9"/>
            <rFont val="Tahoma"/>
            <family val="2"/>
          </rPr>
          <t xml:space="preserve">TB </t>
        </r>
        <r>
          <rPr>
            <sz val="9"/>
            <rFont val="細明體"/>
            <family val="3"/>
            <charset val="136"/>
          </rPr>
          <t>存貨</t>
        </r>
        <r>
          <rPr>
            <sz val="9"/>
            <rFont val="Tahoma"/>
            <family val="2"/>
          </rPr>
          <t>NOTE LINE (</t>
        </r>
        <r>
          <rPr>
            <sz val="9"/>
            <rFont val="細明體"/>
            <family val="3"/>
            <charset val="136"/>
          </rPr>
          <t>不包含備抵跌價</t>
        </r>
        <r>
          <rPr>
            <sz val="9"/>
            <rFont val="Tahoma"/>
            <family val="2"/>
          </rPr>
          <t xml:space="preserve">)
Enya:
</t>
        </r>
        <r>
          <rPr>
            <sz val="9"/>
            <rFont val="細明體"/>
            <family val="3"/>
            <charset val="136"/>
          </rPr>
          <t>可看合併底稿附註揭露</t>
        </r>
        <r>
          <rPr>
            <sz val="9"/>
            <rFont val="Tahoma"/>
            <family val="2"/>
          </rPr>
          <t>1</t>
        </r>
        <r>
          <rPr>
            <sz val="9"/>
            <rFont val="細明體"/>
            <family val="3"/>
            <charset val="136"/>
          </rPr>
          <t>，存貨合計數</t>
        </r>
      </text>
    </comment>
    <comment ref="F18" authorId="0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大表營業收入</t>
        </r>
      </text>
    </comment>
    <comment ref="I19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大表數</t>
        </r>
      </text>
    </comment>
    <comment ref="F20" authorId="0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合併現流表</t>
        </r>
      </text>
    </comment>
    <comment ref="F25" authorId="4" shapeId="0">
      <text>
        <r>
          <rPr>
            <b/>
            <sz val="9"/>
            <rFont val="Times New Roman"/>
            <family val="1"/>
          </rPr>
          <t>User-Admin:</t>
        </r>
        <r>
          <rPr>
            <sz val="9"/>
            <rFont val="Times New Roman"/>
            <family val="1"/>
          </rPr>
          <t xml:space="preserve">
</t>
        </r>
        <r>
          <rPr>
            <sz val="9"/>
            <rFont val="細明體"/>
            <family val="3"/>
            <charset val="136"/>
          </rPr>
          <t>財報</t>
        </r>
        <r>
          <rPr>
            <sz val="9"/>
            <rFont val="Times New Roman"/>
            <family val="1"/>
          </rPr>
          <t>3,449,192</t>
        </r>
      </text>
    </comment>
    <comment ref="I25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合併現流表</t>
        </r>
      </text>
    </comment>
    <comment ref="F37" authorId="0" shapeId="0">
      <text>
        <r>
          <rPr>
            <b/>
            <sz val="9"/>
            <color indexed="81"/>
            <rFont val="Tahoma"/>
            <family val="2"/>
          </rPr>
          <t>Hsu, Enya Y.: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合併現流表
若為減少數不放入</t>
        </r>
      </text>
    </comment>
    <comment ref="I38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預付款項</t>
        </r>
        <r>
          <rPr>
            <sz val="9"/>
            <rFont val="Tahoma"/>
            <family val="2"/>
          </rPr>
          <t>(FS LINES)(</t>
        </r>
        <r>
          <rPr>
            <sz val="9"/>
            <rFont val="細明體"/>
            <family val="3"/>
            <charset val="136"/>
          </rPr>
          <t>不包含進項稅額、留抵稅額、其他預付款)</t>
        </r>
      </text>
    </comment>
    <comment ref="I39" authorId="3" shapeId="0">
      <text>
        <r>
          <rPr>
            <b/>
            <sz val="9"/>
            <rFont val="Tahoma"/>
            <family val="2"/>
          </rPr>
          <t>Chang, Casper F. (TW - Tai Chung):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底稿 合併附註揭露</t>
        </r>
      </text>
    </comment>
    <comment ref="I40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底稿 合併附註揭露</t>
        </r>
      </text>
    </comment>
    <comment ref="F42" authorId="1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現流表</t>
        </r>
      </text>
    </comment>
  </commentList>
</comments>
</file>

<file path=xl/comments9.xml><?xml version="1.0" encoding="utf-8"?>
<comments xmlns="http://schemas.openxmlformats.org/spreadsheetml/2006/main">
  <authors>
    <author>Chen, Cora H.</author>
    <author>Hsu, Enya Y.</author>
    <author>Yang, Erica C. (TW - Tai Chung)</author>
    <author>Chang, Casper F. (TW - Tai Chung)</author>
    <author>User-Admin</author>
  </authors>
  <commentList>
    <comment ref="I3" authorId="0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大表數(附註)</t>
        </r>
      </text>
    </comment>
    <comment ref="I5" authorId="0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生物資產</t>
        </r>
        <r>
          <rPr>
            <sz val="9"/>
            <rFont val="Tahoma"/>
            <family val="2"/>
          </rPr>
          <t>+</t>
        </r>
        <r>
          <rPr>
            <sz val="9"/>
            <rFont val="細明體"/>
            <family val="3"/>
            <charset val="136"/>
          </rPr>
          <t>遞延所得稅資產+其他非流動資產(NOTE LINE)</t>
        </r>
      </text>
    </comment>
    <comment ref="F8" authorId="0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帝寶個體兩大表</t>
        </r>
      </text>
    </comment>
    <comment ref="I9" authorId="1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大表營業淨利</t>
        </r>
      </text>
    </comment>
    <comment ref="I10" authorId="0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大表數</t>
        </r>
      </text>
    </comment>
    <comment ref="F12" authorId="0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大表數</t>
        </r>
      </text>
    </comment>
    <comment ref="I12" authorId="1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期初數填前一年Q4大表數</t>
        </r>
      </text>
    </comment>
    <comment ref="F13" authorId="1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大表稅前淨利+利息費用</t>
        </r>
      </text>
    </comment>
    <comment ref="I13" authorId="1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期初數填前一年</t>
        </r>
        <r>
          <rPr>
            <sz val="9"/>
            <rFont val="Tahoma"/>
            <family val="2"/>
          </rPr>
          <t>Q4</t>
        </r>
        <r>
          <rPr>
            <sz val="9"/>
            <rFont val="細明體"/>
            <family val="3"/>
            <charset val="136"/>
          </rPr>
          <t>大表數(附註)</t>
        </r>
      </text>
    </comment>
    <comment ref="I14" authorId="1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填大表數</t>
        </r>
      </text>
    </comment>
    <comment ref="F15" authorId="1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大表本期淨利</t>
        </r>
      </text>
    </comment>
    <comment ref="I15" authorId="1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填大表附註數</t>
        </r>
      </text>
    </comment>
    <comment ref="B16" authorId="2" shapeId="0">
      <text>
        <r>
          <rPr>
            <b/>
            <sz val="9"/>
            <rFont val="Tahoma"/>
            <family val="2"/>
          </rPr>
          <t>Yang, Erica C. (TW - Tai Chung):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所得稅率改成20%
所以*0.8</t>
        </r>
      </text>
    </comment>
    <comment ref="I16" authorId="3" shapeId="0">
      <text>
        <r>
          <rPr>
            <b/>
            <sz val="9"/>
            <rFont val="Tahoma"/>
            <family val="2"/>
          </rPr>
          <t>Chang, Casper F. (TW - Tai Chung):</t>
        </r>
        <r>
          <rPr>
            <sz val="9"/>
            <rFont val="Tahoma"/>
            <family val="2"/>
          </rPr>
          <t xml:space="preserve">
from </t>
        </r>
        <r>
          <rPr>
            <sz val="9"/>
            <rFont val="細明體"/>
            <family val="3"/>
            <charset val="136"/>
          </rPr>
          <t>合併附註</t>
        </r>
        <r>
          <rPr>
            <sz val="9"/>
            <rFont val="Tahoma"/>
            <family val="2"/>
          </rPr>
          <t>1</t>
        </r>
      </text>
    </comment>
    <comment ref="I17" authorId="0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合併</t>
        </r>
        <r>
          <rPr>
            <sz val="9"/>
            <rFont val="Tahoma"/>
            <family val="2"/>
          </rPr>
          <t xml:space="preserve">TB </t>
        </r>
        <r>
          <rPr>
            <sz val="9"/>
            <rFont val="細明體"/>
            <family val="3"/>
            <charset val="136"/>
          </rPr>
          <t>存貨</t>
        </r>
        <r>
          <rPr>
            <sz val="9"/>
            <rFont val="Tahoma"/>
            <family val="2"/>
          </rPr>
          <t>NOTE LINE (</t>
        </r>
        <r>
          <rPr>
            <sz val="9"/>
            <rFont val="細明體"/>
            <family val="3"/>
            <charset val="136"/>
          </rPr>
          <t>不包含備抵跌價</t>
        </r>
        <r>
          <rPr>
            <sz val="9"/>
            <rFont val="Tahoma"/>
            <family val="2"/>
          </rPr>
          <t>)</t>
        </r>
      </text>
    </comment>
    <comment ref="F18" authorId="1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大表營業收入</t>
        </r>
      </text>
    </comment>
    <comment ref="I19" authorId="0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大表數</t>
        </r>
      </text>
    </comment>
    <comment ref="F20" authorId="1" shapeId="0">
      <text>
        <r>
          <rPr>
            <b/>
            <sz val="9"/>
            <rFont val="Tahoma"/>
            <family val="2"/>
          </rPr>
          <t>Hsu, Enya Y.: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合併現流表</t>
        </r>
      </text>
    </comment>
    <comment ref="F25" authorId="4" shapeId="0">
      <text>
        <r>
          <rPr>
            <b/>
            <sz val="9"/>
            <rFont val="Times New Roman"/>
            <family val="1"/>
          </rPr>
          <t>User-Admin:</t>
        </r>
        <r>
          <rPr>
            <sz val="9"/>
            <rFont val="Times New Roman"/>
            <family val="1"/>
          </rPr>
          <t xml:space="preserve">
</t>
        </r>
        <r>
          <rPr>
            <sz val="9"/>
            <rFont val="細明體"/>
            <family val="3"/>
            <charset val="136"/>
          </rPr>
          <t>財報</t>
        </r>
        <r>
          <rPr>
            <sz val="9"/>
            <rFont val="Times New Roman"/>
            <family val="1"/>
          </rPr>
          <t>3,449,192</t>
        </r>
      </text>
    </comment>
    <comment ref="I25" authorId="0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合併現流表</t>
        </r>
      </text>
    </comment>
    <comment ref="F37" authorId="0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合併現流表
減少數要放進去嗎?</t>
        </r>
      </text>
    </comment>
    <comment ref="I38" authorId="0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預付款項</t>
        </r>
        <r>
          <rPr>
            <sz val="9"/>
            <rFont val="Tahoma"/>
            <family val="2"/>
          </rPr>
          <t>(FS LINES)(</t>
        </r>
        <r>
          <rPr>
            <sz val="9"/>
            <rFont val="細明體"/>
            <family val="3"/>
            <charset val="136"/>
          </rPr>
          <t>不包含進項稅額、留抵稅額、其他預付款)</t>
        </r>
      </text>
    </comment>
    <comment ref="I39" authorId="3" shapeId="0">
      <text>
        <r>
          <rPr>
            <b/>
            <sz val="9"/>
            <rFont val="Tahoma"/>
            <family val="2"/>
          </rPr>
          <t>Chang, Casper F. (TW - Tai Chung):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底稿 合併附註揭露</t>
        </r>
      </text>
    </comment>
    <comment ref="I40" authorId="0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底稿 合併附註揭露</t>
        </r>
      </text>
    </comment>
    <comment ref="F42" authorId="0" shapeId="0">
      <text>
        <r>
          <rPr>
            <b/>
            <sz val="9"/>
            <rFont val="Tahoma"/>
            <family val="2"/>
          </rPr>
          <t>Chen, Cora H.: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細明體"/>
            <family val="3"/>
            <charset val="136"/>
          </rPr>
          <t>現流表</t>
        </r>
      </text>
    </comment>
  </commentList>
</comments>
</file>

<file path=xl/comments10.xml><?xml version="1.0" encoding="utf-8"?>
<comments xmlns="http://schemas.openxmlformats.org/spreadsheetml/2006/main">
  <authors>
    <author>Chang, Casper F. (TW - Tai Chung)</author>
  </authors>
  <commentList>
    <comment ref="I17" authorId="0" shapeId="0">
      <text>
        <r>
          <rPr>
            <b/>
            <sz val="9"/>
            <color indexed="81"/>
            <rFont val="Tahoma"/>
            <family val="2"/>
          </rPr>
          <t>Chang, Casper F. (TW - Tai Chung):</t>
        </r>
        <r>
          <rPr>
            <sz val="9"/>
            <color indexed="81"/>
            <rFont val="Tahoma"/>
            <family val="2"/>
          </rPr>
          <t xml:space="preserve">
from </t>
        </r>
        <r>
          <rPr>
            <sz val="9"/>
            <color indexed="81"/>
            <rFont val="細明體"/>
            <family val="3"/>
            <charset val="136"/>
          </rPr>
          <t>合併附註</t>
        </r>
        <r>
          <rPr>
            <sz val="9"/>
            <color indexed="81"/>
            <rFont val="Tahoma"/>
            <family val="2"/>
          </rPr>
          <t>1</t>
        </r>
      </text>
    </comment>
  </commentList>
</comments>
</file>

<file path=xl/comments11.xml><?xml version="1.0" encoding="utf-8"?>
<comments xmlns="http://schemas.openxmlformats.org/spreadsheetml/2006/main">
  <authors>
    <author>Chen, Cora H.</author>
    <author>Yang, Erica C. (TW - Tai Chung)</author>
    <author>Chang, Casper F. (TW - Tai Chung)</author>
  </authors>
  <commentList>
    <comment ref="I3" authorId="0" shapeId="0">
      <text>
        <r>
          <rPr>
            <b/>
            <sz val="9"/>
            <color indexed="81"/>
            <rFont val="Tahoma"/>
            <family val="2"/>
          </rPr>
          <t>Chen, Cora H.: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大表數(附註)</t>
        </r>
      </text>
    </comment>
    <comment ref="I5" authorId="0" shapeId="0">
      <text>
        <r>
          <rPr>
            <b/>
            <sz val="9"/>
            <color indexed="81"/>
            <rFont val="Tahoma"/>
            <family val="2"/>
          </rPr>
          <t>Chen, Cora H.: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生物資產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細明體"/>
            <family val="3"/>
            <charset val="136"/>
          </rPr>
          <t>遞延所得稅資產+其他非流動資產(NOTE LINE)</t>
        </r>
      </text>
    </comment>
    <comment ref="F8" authorId="0" shapeId="0">
      <text>
        <r>
          <rPr>
            <b/>
            <sz val="9"/>
            <color indexed="81"/>
            <rFont val="Tahoma"/>
            <family val="2"/>
          </rPr>
          <t>Chen, Cora H.: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帝寶個體兩大表</t>
        </r>
      </text>
    </comment>
    <comment ref="I9" authorId="0" shapeId="0">
      <text>
        <r>
          <rPr>
            <b/>
            <sz val="9"/>
            <color indexed="81"/>
            <rFont val="Tahoma"/>
            <family val="2"/>
          </rPr>
          <t>Chen, Cora H.: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大表數</t>
        </r>
      </text>
    </comment>
    <comment ref="I10" authorId="0" shapeId="0">
      <text>
        <r>
          <rPr>
            <b/>
            <sz val="9"/>
            <color indexed="81"/>
            <rFont val="Tahoma"/>
            <family val="2"/>
          </rPr>
          <t>Chen, Cora H.: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大表數</t>
        </r>
      </text>
    </comment>
    <comment ref="F12" authorId="0" shapeId="0">
      <text>
        <r>
          <rPr>
            <b/>
            <sz val="9"/>
            <color indexed="81"/>
            <rFont val="Tahoma"/>
            <family val="2"/>
          </rPr>
          <t>Chen, Cora H.: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大表數</t>
        </r>
      </text>
    </comment>
    <comment ref="F13" authorId="0" shapeId="0">
      <text>
        <r>
          <rPr>
            <b/>
            <sz val="9"/>
            <color indexed="81"/>
            <rFont val="Tahoma"/>
            <family val="2"/>
          </rPr>
          <t>Chen, Cora H.: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大表數</t>
        </r>
      </text>
    </comment>
    <comment ref="F15" authorId="0" shapeId="0">
      <text>
        <r>
          <rPr>
            <b/>
            <sz val="9"/>
            <color indexed="81"/>
            <rFont val="Tahoma"/>
            <family val="2"/>
          </rPr>
          <t>Chen, Cora H.: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大表數</t>
        </r>
      </text>
    </comment>
    <comment ref="B16" authorId="1" shapeId="0">
      <text>
        <r>
          <rPr>
            <b/>
            <sz val="9"/>
            <color indexed="81"/>
            <rFont val="Tahoma"/>
            <family val="2"/>
          </rPr>
          <t>Yang, Erica C. (TW - Tai Chung):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所得稅率改成20%
所以*0.8</t>
        </r>
      </text>
    </comment>
    <comment ref="I16" authorId="2" shapeId="0">
      <text>
        <r>
          <rPr>
            <b/>
            <sz val="9"/>
            <color indexed="81"/>
            <rFont val="Tahoma"/>
            <family val="2"/>
          </rPr>
          <t>Chang, Casper F. (TW - Tai Chung):</t>
        </r>
        <r>
          <rPr>
            <sz val="9"/>
            <color indexed="81"/>
            <rFont val="Tahoma"/>
            <family val="2"/>
          </rPr>
          <t xml:space="preserve">
from </t>
        </r>
        <r>
          <rPr>
            <sz val="9"/>
            <color indexed="81"/>
            <rFont val="細明體"/>
            <family val="3"/>
            <charset val="136"/>
          </rPr>
          <t>合併附註</t>
        </r>
        <r>
          <rPr>
            <sz val="9"/>
            <color indexed="81"/>
            <rFont val="Tahoma"/>
            <family val="2"/>
          </rPr>
          <t>1</t>
        </r>
      </text>
    </comment>
    <comment ref="I17" authorId="0" shapeId="0">
      <text>
        <r>
          <rPr>
            <b/>
            <sz val="9"/>
            <color indexed="81"/>
            <rFont val="Tahoma"/>
            <family val="2"/>
          </rPr>
          <t>Chen, Cora H.: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合併</t>
        </r>
        <r>
          <rPr>
            <sz val="9"/>
            <color indexed="81"/>
            <rFont val="Tahoma"/>
            <family val="2"/>
          </rPr>
          <t xml:space="preserve">TB </t>
        </r>
        <r>
          <rPr>
            <sz val="9"/>
            <color indexed="81"/>
            <rFont val="細明體"/>
            <family val="3"/>
            <charset val="136"/>
          </rPr>
          <t>存貨</t>
        </r>
        <r>
          <rPr>
            <sz val="9"/>
            <color indexed="81"/>
            <rFont val="Tahoma"/>
            <family val="2"/>
          </rPr>
          <t>NOTE LINE (</t>
        </r>
        <r>
          <rPr>
            <sz val="9"/>
            <color indexed="81"/>
            <rFont val="細明體"/>
            <family val="3"/>
            <charset val="136"/>
          </rPr>
          <t>不包含備抵跌價</t>
        </r>
        <r>
          <rPr>
            <sz val="9"/>
            <color indexed="81"/>
            <rFont val="Tahoma"/>
            <family val="2"/>
          </rPr>
          <t>)</t>
        </r>
      </text>
    </comment>
    <comment ref="F18" authorId="0" shapeId="0">
      <text>
        <r>
          <rPr>
            <b/>
            <sz val="9"/>
            <color indexed="81"/>
            <rFont val="Tahoma"/>
            <family val="2"/>
          </rPr>
          <t>Chen, Cora H.: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大表數</t>
        </r>
      </text>
    </comment>
    <comment ref="I19" authorId="0" shapeId="0">
      <text>
        <r>
          <rPr>
            <b/>
            <sz val="9"/>
            <color indexed="81"/>
            <rFont val="Tahoma"/>
            <family val="2"/>
          </rPr>
          <t>Chen, Cora H.: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大表數</t>
        </r>
      </text>
    </comment>
    <comment ref="F20" authorId="0" shapeId="0">
      <text>
        <r>
          <rPr>
            <b/>
            <sz val="9"/>
            <color indexed="81"/>
            <rFont val="Tahoma"/>
            <family val="2"/>
          </rPr>
          <t>Chen, Cora H.: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大表數</t>
        </r>
      </text>
    </comment>
    <comment ref="I25" authorId="0" shapeId="0">
      <text>
        <r>
          <rPr>
            <b/>
            <sz val="9"/>
            <color indexed="81"/>
            <rFont val="Tahoma"/>
            <family val="2"/>
          </rPr>
          <t>Chen, Cora H.: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合併現流表</t>
        </r>
      </text>
    </comment>
    <comment ref="F37" authorId="0" shapeId="0">
      <text>
        <r>
          <rPr>
            <b/>
            <sz val="9"/>
            <color indexed="81"/>
            <rFont val="Tahoma"/>
            <family val="2"/>
          </rPr>
          <t>Chen, Cora H.: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合併現流表</t>
        </r>
      </text>
    </comment>
    <comment ref="I38" authorId="0" shapeId="0">
      <text>
        <r>
          <rPr>
            <b/>
            <sz val="9"/>
            <color indexed="81"/>
            <rFont val="Tahoma"/>
            <family val="2"/>
          </rPr>
          <t>Chen, Cora H.: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預付款項</t>
        </r>
        <r>
          <rPr>
            <sz val="9"/>
            <color indexed="81"/>
            <rFont val="Tahoma"/>
            <family val="2"/>
          </rPr>
          <t>(NOTE LINES)(</t>
        </r>
        <r>
          <rPr>
            <sz val="9"/>
            <color indexed="81"/>
            <rFont val="細明體"/>
            <family val="3"/>
            <charset val="136"/>
          </rPr>
          <t>不包含進項稅額、留抵稅額、其他預付款)</t>
        </r>
      </text>
    </comment>
    <comment ref="I39" authorId="2" shapeId="0">
      <text>
        <r>
          <rPr>
            <b/>
            <sz val="9"/>
            <color indexed="81"/>
            <rFont val="Tahoma"/>
            <family val="2"/>
          </rPr>
          <t>Chang, Casper F. (TW - Tai Chung):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底稿 合併附註揭露</t>
        </r>
      </text>
    </comment>
    <comment ref="I40" authorId="0" shapeId="0">
      <text>
        <r>
          <rPr>
            <b/>
            <sz val="9"/>
            <color indexed="81"/>
            <rFont val="Tahoma"/>
            <family val="2"/>
          </rPr>
          <t>Chen, Cora H.: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底稿 合併附註揭露</t>
        </r>
      </text>
    </comment>
    <comment ref="F42" authorId="0" shapeId="0">
      <text>
        <r>
          <rPr>
            <b/>
            <sz val="9"/>
            <color indexed="81"/>
            <rFont val="Tahoma"/>
            <family val="2"/>
          </rPr>
          <t>Chen, Cora H.: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現流表</t>
        </r>
      </text>
    </comment>
  </commentList>
</comments>
</file>

<file path=xl/comments12.xml><?xml version="1.0" encoding="utf-8"?>
<comments xmlns="http://schemas.openxmlformats.org/spreadsheetml/2006/main">
  <authors>
    <author>Yang, Erica C. (TW - Tai Chung)</author>
    <author>Chang, Casper F. (TW - Tai Chung)</author>
  </authors>
  <commentList>
    <comment ref="B16" authorId="0" shapeId="0">
      <text>
        <r>
          <rPr>
            <b/>
            <sz val="9"/>
            <color indexed="81"/>
            <rFont val="Tahoma"/>
            <family val="2"/>
          </rPr>
          <t>Yang, Erica C. (TW - Tai Chung):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所得稅率改成20%
所以*0.8</t>
        </r>
      </text>
    </comment>
    <comment ref="I16" authorId="1" shapeId="0">
      <text>
        <r>
          <rPr>
            <b/>
            <sz val="9"/>
            <color indexed="81"/>
            <rFont val="Tahoma"/>
            <family val="2"/>
          </rPr>
          <t>Chang, Casper F. (TW - Tai Chung):</t>
        </r>
        <r>
          <rPr>
            <sz val="9"/>
            <color indexed="81"/>
            <rFont val="Tahoma"/>
            <family val="2"/>
          </rPr>
          <t xml:space="preserve">
from </t>
        </r>
        <r>
          <rPr>
            <sz val="9"/>
            <color indexed="81"/>
            <rFont val="細明體"/>
            <family val="3"/>
            <charset val="136"/>
          </rPr>
          <t>合併附註</t>
        </r>
        <r>
          <rPr>
            <sz val="9"/>
            <color indexed="81"/>
            <rFont val="Tahoma"/>
            <family val="2"/>
          </rPr>
          <t>1</t>
        </r>
      </text>
    </comment>
    <comment ref="I39" authorId="1" shapeId="0">
      <text>
        <r>
          <rPr>
            <b/>
            <sz val="9"/>
            <color indexed="81"/>
            <rFont val="Tahoma"/>
            <family val="2"/>
          </rPr>
          <t>Chang, Casper F. (TW - Tai Chung):</t>
        </r>
        <r>
          <rPr>
            <sz val="9"/>
            <color indexed="81"/>
            <rFont val="Tahoma"/>
            <family val="2"/>
          </rPr>
          <t xml:space="preserve">
from </t>
        </r>
        <r>
          <rPr>
            <sz val="9"/>
            <color indexed="81"/>
            <rFont val="細明體"/>
            <family val="3"/>
            <charset val="136"/>
          </rPr>
          <t>財報用人費用彙總金額</t>
        </r>
      </text>
    </comment>
  </commentList>
</comments>
</file>

<file path=xl/comments13.xml><?xml version="1.0" encoding="utf-8"?>
<comments xmlns="http://schemas.openxmlformats.org/spreadsheetml/2006/main">
  <authors>
    <author>Chang, Craig C. (TW - Tai Chung)</author>
  </authors>
  <commentList>
    <comment ref="F25" authorId="0" shapeId="0">
      <text>
        <r>
          <rPr>
            <b/>
            <sz val="9"/>
            <color indexed="81"/>
            <rFont val="Tahoma"/>
            <family val="2"/>
          </rPr>
          <t>Chang, Craig C. (TW - Tai Chung):</t>
        </r>
        <r>
          <rPr>
            <sz val="9"/>
            <color indexed="81"/>
            <rFont val="Tahoma"/>
            <family val="2"/>
          </rPr>
          <t xml:space="preserve">
2855319</t>
        </r>
      </text>
    </comment>
    <comment ref="F26" authorId="0" shapeId="0">
      <text>
        <r>
          <rPr>
            <b/>
            <sz val="9"/>
            <color indexed="81"/>
            <rFont val="Tahoma"/>
            <family val="2"/>
          </rPr>
          <t>Chang, Craig C. (TW - Tai Chung):</t>
        </r>
        <r>
          <rPr>
            <sz val="9"/>
            <color indexed="81"/>
            <rFont val="Tahoma"/>
            <family val="2"/>
          </rPr>
          <t xml:space="preserve">
2687665</t>
        </r>
      </text>
    </comment>
  </commentList>
</comments>
</file>

<file path=xl/sharedStrings.xml><?xml version="1.0" encoding="utf-8"?>
<sst xmlns="http://schemas.openxmlformats.org/spreadsheetml/2006/main" count="2944" uniqueCount="625">
  <si>
    <t>單位：仟元</t>
    <phoneticPr fontId="5" type="noConversion"/>
  </si>
  <si>
    <t>1/2</t>
  </si>
  <si>
    <t>6/7</t>
  </si>
  <si>
    <t>10/11</t>
  </si>
  <si>
    <t>365/(21)</t>
  </si>
  <si>
    <t>12/15</t>
  </si>
  <si>
    <t>12/16</t>
  </si>
  <si>
    <t>18/19</t>
  </si>
  <si>
    <t>25/(25-26)</t>
  </si>
  <si>
    <t>註一：資本支出係包括固定資產及長投之增加數。</t>
    <phoneticPr fontId="5" type="noConversion"/>
  </si>
  <si>
    <t>註二：資本支出係指每年資本投資之現金流出數。</t>
    <phoneticPr fontId="4" type="noConversion"/>
  </si>
  <si>
    <t>註三：存貨增加數僅在期末餘額大於期初餘額時方予計入，若年底存貨</t>
    <phoneticPr fontId="4" type="noConversion"/>
  </si>
  <si>
    <t>　　　減少，則以零計算。</t>
    <phoneticPr fontId="4" type="noConversion"/>
  </si>
  <si>
    <t>註四：營業活動淨現金流量係指現金流量表中營業活動淨現金流入數。</t>
    <phoneticPr fontId="4" type="noConversion"/>
  </si>
  <si>
    <t>(6-8-49)/7</t>
    <phoneticPr fontId="5" type="noConversion"/>
  </si>
  <si>
    <t xml:space="preserve">     (98)年</t>
  </si>
  <si>
    <t xml:space="preserve">     (99)年</t>
  </si>
  <si>
    <t>51.攤銷費用</t>
    <phoneticPr fontId="3" type="noConversion"/>
  </si>
  <si>
    <t>(10+50+51)/11</t>
    <phoneticPr fontId="3" type="noConversion"/>
  </si>
  <si>
    <t xml:space="preserve">     (100)年</t>
  </si>
  <si>
    <t xml:space="preserve">     (100)年</t>
    <phoneticPr fontId="3" type="noConversion"/>
  </si>
  <si>
    <t>※ 重 要 財 務 比 率 分 析</t>
  </si>
  <si>
    <t>(1)負債占資產比率</t>
  </si>
  <si>
    <t>1.負債總額</t>
  </si>
  <si>
    <t>20.固定資產毛額(不減累折)</t>
    <phoneticPr fontId="5" type="noConversion"/>
  </si>
  <si>
    <t>2.資產總額</t>
  </si>
  <si>
    <t>21.長期投資</t>
  </si>
  <si>
    <t>(3)流動比率</t>
  </si>
  <si>
    <t>(4)速動比率</t>
  </si>
  <si>
    <t>23.營運資金=CA-CL</t>
  </si>
  <si>
    <t>(5)利息保障倍數</t>
    <phoneticPr fontId="3" type="noConversion"/>
  </si>
  <si>
    <t>24.變動成本及費用</t>
  </si>
  <si>
    <t>(5.1)利息保障倍數聯貸案</t>
    <phoneticPr fontId="3" type="noConversion"/>
  </si>
  <si>
    <t>(6)應收款項週轉率(次)</t>
    <phoneticPr fontId="5" type="noConversion"/>
  </si>
  <si>
    <t>6.流動資產</t>
    <phoneticPr fontId="4" type="noConversion"/>
  </si>
  <si>
    <t>25.營業利益</t>
  </si>
  <si>
    <t>(7)應收款項收現日數</t>
    <phoneticPr fontId="5" type="noConversion"/>
  </si>
  <si>
    <t>7.流動負債</t>
    <phoneticPr fontId="4" type="noConversion"/>
  </si>
  <si>
    <t>26.利息費用(不含利息資本化)</t>
    <phoneticPr fontId="5" type="noConversion"/>
  </si>
  <si>
    <t>(8)存貨週轉率 (次)</t>
    <phoneticPr fontId="5" type="noConversion"/>
  </si>
  <si>
    <t>8.存貨淨額</t>
    <phoneticPr fontId="4" type="noConversion"/>
  </si>
  <si>
    <t>27.稅前純益</t>
  </si>
  <si>
    <t>(9)應付款項週轉率 (次)</t>
    <phoneticPr fontId="5" type="noConversion"/>
  </si>
  <si>
    <t>28.期初應收票據總額</t>
    <phoneticPr fontId="5" type="noConversion"/>
  </si>
  <si>
    <t>(10)平均售貨日數</t>
    <phoneticPr fontId="5" type="noConversion"/>
  </si>
  <si>
    <t>29.期初應收帳款總額</t>
    <phoneticPr fontId="5" type="noConversion"/>
  </si>
  <si>
    <t>11.本期利息支出(含資本化利息)</t>
    <phoneticPr fontId="5" type="noConversion"/>
  </si>
  <si>
    <t>30.期末應收票據總額</t>
    <phoneticPr fontId="5" type="noConversion"/>
  </si>
  <si>
    <t>(12)總資產週轉率</t>
    <phoneticPr fontId="5" type="noConversion"/>
  </si>
  <si>
    <t>12.稅後損益</t>
  </si>
  <si>
    <t>31.期末應收帳款總額</t>
    <phoneticPr fontId="5" type="noConversion"/>
  </si>
  <si>
    <t xml:space="preserve">(13)資產報酬率 </t>
    <phoneticPr fontId="5" type="noConversion"/>
  </si>
  <si>
    <t>13.平均資產總額=(2+38)/2</t>
    <phoneticPr fontId="4" type="noConversion"/>
  </si>
  <si>
    <t>32.期初存貨總額</t>
    <phoneticPr fontId="5" type="noConversion"/>
  </si>
  <si>
    <t>(14)股東權益報酬率</t>
    <phoneticPr fontId="5" type="noConversion"/>
  </si>
  <si>
    <t>14.平均股東權益淨額=(3+37)/2</t>
    <phoneticPr fontId="4" type="noConversion"/>
  </si>
  <si>
    <t>33.期末存貨總額</t>
    <phoneticPr fontId="5" type="noConversion"/>
  </si>
  <si>
    <t>(15)營業利益佔實收資本額</t>
    <phoneticPr fontId="5" type="noConversion"/>
  </si>
  <si>
    <t>15.銷貨淨額</t>
  </si>
  <si>
    <t>34.營業成本</t>
    <phoneticPr fontId="5" type="noConversion"/>
  </si>
  <si>
    <t>(16)稅前純益佔實收資本額</t>
    <phoneticPr fontId="5" type="noConversion"/>
  </si>
  <si>
    <t>16.加權平均已發行股數(仟股)</t>
    <phoneticPr fontId="4" type="noConversion"/>
  </si>
  <si>
    <t>35.實收資本額</t>
  </si>
  <si>
    <t>(17)純益率</t>
    <phoneticPr fontId="5" type="noConversion"/>
  </si>
  <si>
    <t>17.營業活動淨現金流量</t>
  </si>
  <si>
    <t>(18)每股盈餘</t>
    <phoneticPr fontId="5" type="noConversion"/>
  </si>
  <si>
    <t>18.最近五年度營業活動淨現金流量</t>
  </si>
  <si>
    <t>(19)現金流量比率</t>
    <phoneticPr fontId="5" type="noConversion"/>
  </si>
  <si>
    <t>38.期初資產總額</t>
    <phoneticPr fontId="4" type="noConversion"/>
  </si>
  <si>
    <t>(20)淨現金流量允當比率</t>
    <phoneticPr fontId="5" type="noConversion"/>
  </si>
  <si>
    <t>(21)現金再投資比率</t>
    <phoneticPr fontId="5" type="noConversion"/>
  </si>
  <si>
    <t>40.本年發放現金股利</t>
    <phoneticPr fontId="5" type="noConversion"/>
  </si>
  <si>
    <t>(23)財務槓桿度</t>
    <phoneticPr fontId="5" type="noConversion"/>
  </si>
  <si>
    <t>41.固定資產購買數</t>
    <phoneticPr fontId="5" type="noConversion"/>
  </si>
  <si>
    <t xml:space="preserve">     (101)年</t>
    <phoneticPr fontId="4" type="noConversion"/>
  </si>
  <si>
    <t>42.長期投資增加數</t>
    <phoneticPr fontId="5" type="noConversion"/>
  </si>
  <si>
    <t>19.最近五年度(資本支出＋存貨增加額＋現金股利)</t>
    <phoneticPr fontId="5" type="noConversion"/>
  </si>
  <si>
    <t>44.期初應付票據</t>
    <phoneticPr fontId="5" type="noConversion"/>
  </si>
  <si>
    <t>45.期初應付帳款</t>
    <phoneticPr fontId="5" type="noConversion"/>
  </si>
  <si>
    <t>46.期末應付票據</t>
    <phoneticPr fontId="5" type="noConversion"/>
  </si>
  <si>
    <t>47.期末應付帳款</t>
    <phoneticPr fontId="5" type="noConversion"/>
  </si>
  <si>
    <t xml:space="preserve">    A~C 合計數=24</t>
    <phoneticPr fontId="4" type="noConversion"/>
  </si>
  <si>
    <t>49.預付費用+預付款項</t>
    <phoneticPr fontId="5" type="noConversion"/>
  </si>
  <si>
    <t>365/(19)</t>
    <phoneticPr fontId="3" type="noConversion"/>
  </si>
  <si>
    <t>25/35</t>
    <phoneticPr fontId="3" type="noConversion"/>
  </si>
  <si>
    <t>27/35</t>
    <phoneticPr fontId="3" type="noConversion"/>
  </si>
  <si>
    <t>(17-40)/sum(20:23)</t>
    <phoneticPr fontId="5" type="noConversion"/>
  </si>
  <si>
    <t>10.所得稅及利息費用前純益</t>
    <phoneticPr fontId="5" type="noConversion"/>
  </si>
  <si>
    <t>9.其他流動資產</t>
    <phoneticPr fontId="5" type="noConversion"/>
  </si>
  <si>
    <t xml:space="preserve">     (101)年</t>
  </si>
  <si>
    <t xml:space="preserve">     (102)年第一季=(41+42)</t>
    <phoneticPr fontId="4" type="noConversion"/>
  </si>
  <si>
    <t xml:space="preserve">     (98)年 - 資本支出 (註一)</t>
    <phoneticPr fontId="3" type="noConversion"/>
  </si>
  <si>
    <t xml:space="preserve">     (98)年 - 存貨增加額</t>
    <phoneticPr fontId="5" type="noConversion"/>
  </si>
  <si>
    <t xml:space="preserve">     (99)年</t>
    <phoneticPr fontId="3" type="noConversion"/>
  </si>
  <si>
    <t xml:space="preserve">     (98)年 - 現金股利</t>
    <phoneticPr fontId="5" type="noConversion"/>
  </si>
  <si>
    <t>15*4/(sum(28:31)/2)</t>
    <phoneticPr fontId="5" type="noConversion"/>
  </si>
  <si>
    <t>34*4/((32+33)/2)</t>
    <phoneticPr fontId="5" type="noConversion"/>
  </si>
  <si>
    <t>34*4/(sum(44:47)/2)</t>
    <phoneticPr fontId="5" type="noConversion"/>
  </si>
  <si>
    <t>12*4/14</t>
    <phoneticPr fontId="3" type="noConversion"/>
  </si>
  <si>
    <t>17*4/7</t>
    <phoneticPr fontId="5" type="noConversion"/>
  </si>
  <si>
    <t>(3+4)/5</t>
    <phoneticPr fontId="3" type="noConversion"/>
  </si>
  <si>
    <t>4.非流動負債</t>
    <phoneticPr fontId="3" type="noConversion"/>
  </si>
  <si>
    <t>(2)長期資金占不動產、廠房及設備比率</t>
    <phoneticPr fontId="3" type="noConversion"/>
  </si>
  <si>
    <t>(11)不動產、廠房及設備週轉率</t>
    <phoneticPr fontId="5" type="noConversion"/>
  </si>
  <si>
    <t>3.權益總額</t>
    <phoneticPr fontId="3" type="noConversion"/>
  </si>
  <si>
    <t>36.期初不動產、廠房及設備淨額</t>
    <phoneticPr fontId="3" type="noConversion"/>
  </si>
  <si>
    <t>37.期初權益總額</t>
    <phoneticPr fontId="4" type="noConversion"/>
  </si>
  <si>
    <t>15*4/13</t>
    <phoneticPr fontId="5" type="noConversion"/>
  </si>
  <si>
    <t>(12+26*0.83)*4/13</t>
    <phoneticPr fontId="5" type="noConversion"/>
  </si>
  <si>
    <t>5.不動產、廠房及設備淨額</t>
    <phoneticPr fontId="3" type="noConversion"/>
  </si>
  <si>
    <t>39.平均不動產、廠房及設備淨額(36+5)/2</t>
    <phoneticPr fontId="4" type="noConversion"/>
  </si>
  <si>
    <t>15*4/39</t>
    <phoneticPr fontId="5" type="noConversion"/>
  </si>
  <si>
    <t>22.其他資產(不含無形資產)</t>
    <phoneticPr fontId="5" type="noConversion"/>
  </si>
  <si>
    <r>
      <t>(22)</t>
    </r>
    <r>
      <rPr>
        <sz val="10"/>
        <rFont val="標楷體"/>
        <family val="4"/>
        <charset val="136"/>
      </rPr>
      <t>營運槓桿度</t>
    </r>
    <phoneticPr fontId="5" type="noConversion"/>
  </si>
  <si>
    <t>(15-24)/25</t>
  </si>
  <si>
    <t>註一：</t>
  </si>
  <si>
    <t>營業成本</t>
  </si>
  <si>
    <t>營業費用</t>
  </si>
  <si>
    <t>減：(折舊＋各項攤提)(不含業外)</t>
  </si>
  <si>
    <t>變動成本合計</t>
  </si>
  <si>
    <t>50.折舊費用(不含業外)</t>
    <phoneticPr fontId="3" type="noConversion"/>
  </si>
  <si>
    <t>5a.母公司稅後損益</t>
    <phoneticPr fontId="3" type="noConversion"/>
  </si>
  <si>
    <t>帝寶工業股份有限公司(102Q2合併)</t>
    <phoneticPr fontId="4" type="noConversion"/>
  </si>
  <si>
    <t xml:space="preserve">     (102)年第二季</t>
    <phoneticPr fontId="3" type="noConversion"/>
  </si>
  <si>
    <t xml:space="preserve">     (102)年第二季</t>
    <phoneticPr fontId="4" type="noConversion"/>
  </si>
  <si>
    <t xml:space="preserve">     (102)年第三季</t>
    <phoneticPr fontId="3" type="noConversion"/>
  </si>
  <si>
    <t xml:space="preserve">     (102)年第三季=(41+42)</t>
    <phoneticPr fontId="4" type="noConversion"/>
  </si>
  <si>
    <t xml:space="preserve">     (102)年第三季</t>
    <phoneticPr fontId="4" type="noConversion"/>
  </si>
  <si>
    <t>帝寶工業股份有限公司(102Q3合併)</t>
    <phoneticPr fontId="4" type="noConversion"/>
  </si>
  <si>
    <t>365/(6)</t>
    <phoneticPr fontId="3" type="noConversion"/>
  </si>
  <si>
    <t>15/3*4/(sum(28:31)/2)</t>
    <phoneticPr fontId="5" type="noConversion"/>
  </si>
  <si>
    <t>34/3*4/((32+33)/2)</t>
    <phoneticPr fontId="5" type="noConversion"/>
  </si>
  <si>
    <t>34/3*4/(sum(44:47)/2)</t>
    <phoneticPr fontId="5" type="noConversion"/>
  </si>
  <si>
    <t>15/3*4/39</t>
    <phoneticPr fontId="5" type="noConversion"/>
  </si>
  <si>
    <t>15/3*4/13</t>
    <phoneticPr fontId="5" type="noConversion"/>
  </si>
  <si>
    <t>(12+26*0.83)/3*4/13</t>
    <phoneticPr fontId="5" type="noConversion"/>
  </si>
  <si>
    <t>12/3*4/14</t>
    <phoneticPr fontId="3" type="noConversion"/>
  </si>
  <si>
    <t>17/3*4/7</t>
    <phoneticPr fontId="5" type="noConversion"/>
  </si>
  <si>
    <t xml:space="preserve">     (102)年</t>
    <phoneticPr fontId="4" type="noConversion"/>
  </si>
  <si>
    <t xml:space="preserve">     (102)年=(41+42)</t>
    <phoneticPr fontId="4" type="noConversion"/>
  </si>
  <si>
    <t xml:space="preserve">     (102)年</t>
    <phoneticPr fontId="3" type="noConversion"/>
  </si>
  <si>
    <t>帝寶工業股份有限公司(102Q4合併)</t>
    <phoneticPr fontId="4" type="noConversion"/>
  </si>
  <si>
    <t>34/((32+33)/2)</t>
    <phoneticPr fontId="5" type="noConversion"/>
  </si>
  <si>
    <t>34/(sum(44:47)/2)</t>
    <phoneticPr fontId="5" type="noConversion"/>
  </si>
  <si>
    <t>15/39</t>
    <phoneticPr fontId="5" type="noConversion"/>
  </si>
  <si>
    <t>15/13</t>
    <phoneticPr fontId="5" type="noConversion"/>
  </si>
  <si>
    <t>(12+26*0.83)/13</t>
    <phoneticPr fontId="5" type="noConversion"/>
  </si>
  <si>
    <t>12/14</t>
    <phoneticPr fontId="3" type="noConversion"/>
  </si>
  <si>
    <t>17/7</t>
    <phoneticPr fontId="5" type="noConversion"/>
  </si>
  <si>
    <t>15/(sum(28:31)/2)</t>
    <phoneticPr fontId="5" type="noConversion"/>
  </si>
  <si>
    <t xml:space="preserve">     (102)年</t>
  </si>
  <si>
    <t xml:space="preserve">     (103)年第一季</t>
    <phoneticPr fontId="3" type="noConversion"/>
  </si>
  <si>
    <t xml:space="preserve">     (99)年 - 資本支出 (註一)</t>
    <phoneticPr fontId="3" type="noConversion"/>
  </si>
  <si>
    <t xml:space="preserve">     (102)年</t>
    <phoneticPr fontId="3" type="noConversion"/>
  </si>
  <si>
    <t xml:space="preserve">     (103)年=(41+42)</t>
    <phoneticPr fontId="4" type="noConversion"/>
  </si>
  <si>
    <t xml:space="preserve">     (103)年第一季</t>
    <phoneticPr fontId="4" type="noConversion"/>
  </si>
  <si>
    <t xml:space="preserve">     (99)年 - 存貨增加額</t>
    <phoneticPr fontId="5" type="noConversion"/>
  </si>
  <si>
    <t xml:space="preserve">     (99)年 - 現金股利</t>
    <phoneticPr fontId="5" type="noConversion"/>
  </si>
  <si>
    <t>15*4/(sum(28:31)/2)</t>
    <phoneticPr fontId="5" type="noConversion"/>
  </si>
  <si>
    <t>34*4/((32+33)/2)</t>
    <phoneticPr fontId="5" type="noConversion"/>
  </si>
  <si>
    <t>34*4/(sum(44:47)/2)</t>
    <phoneticPr fontId="5" type="noConversion"/>
  </si>
  <si>
    <t>15*4/39</t>
    <phoneticPr fontId="5" type="noConversion"/>
  </si>
  <si>
    <t>15*4/13</t>
    <phoneticPr fontId="5" type="noConversion"/>
  </si>
  <si>
    <t>(12+26*0.83)*4/13</t>
    <phoneticPr fontId="5" type="noConversion"/>
  </si>
  <si>
    <t>12*4/14</t>
    <phoneticPr fontId="3" type="noConversion"/>
  </si>
  <si>
    <t>17*4/7</t>
    <phoneticPr fontId="5" type="noConversion"/>
  </si>
  <si>
    <t>帝寶工業股份有限公司(103Q1合併)</t>
    <phoneticPr fontId="4" type="noConversion"/>
  </si>
  <si>
    <t xml:space="preserve">     (103)年第二季</t>
    <phoneticPr fontId="4" type="noConversion"/>
  </si>
  <si>
    <t>帝寶工業股份有限公司(103Q2合併)</t>
    <phoneticPr fontId="4" type="noConversion"/>
  </si>
  <si>
    <t>15*2/(sum(28:31)/2)</t>
    <phoneticPr fontId="5" type="noConversion"/>
  </si>
  <si>
    <t>34*2/((32+33)/2)</t>
    <phoneticPr fontId="5" type="noConversion"/>
  </si>
  <si>
    <t>34*2/(sum(44:47)/2)</t>
    <phoneticPr fontId="5" type="noConversion"/>
  </si>
  <si>
    <t>15*2/39</t>
    <phoneticPr fontId="5" type="noConversion"/>
  </si>
  <si>
    <t>15*2/13</t>
    <phoneticPr fontId="5" type="noConversion"/>
  </si>
  <si>
    <t>(12+26*0.83)*2/13</t>
    <phoneticPr fontId="5" type="noConversion"/>
  </si>
  <si>
    <t>12*2/14</t>
    <phoneticPr fontId="3" type="noConversion"/>
  </si>
  <si>
    <t>17*2/7</t>
    <phoneticPr fontId="5" type="noConversion"/>
  </si>
  <si>
    <t xml:space="preserve">     (103)年第二季</t>
    <phoneticPr fontId="3" type="noConversion"/>
  </si>
  <si>
    <t xml:space="preserve">     (103)年第三季</t>
    <phoneticPr fontId="4" type="noConversion"/>
  </si>
  <si>
    <t xml:space="preserve">     (103)年第三季</t>
    <phoneticPr fontId="3" type="noConversion"/>
  </si>
  <si>
    <t>15*4/3/(sum(28:31)/2)</t>
    <phoneticPr fontId="5" type="noConversion"/>
  </si>
  <si>
    <t>365/(6)</t>
    <phoneticPr fontId="3" type="noConversion"/>
  </si>
  <si>
    <t>34*4/3/((32+33)/2)</t>
    <phoneticPr fontId="5" type="noConversion"/>
  </si>
  <si>
    <t>34*4/3/(sum(44:47)/2)</t>
    <phoneticPr fontId="5" type="noConversion"/>
  </si>
  <si>
    <t>15*4/3/13</t>
    <phoneticPr fontId="5" type="noConversion"/>
  </si>
  <si>
    <t>15*4/3/39</t>
    <phoneticPr fontId="5" type="noConversion"/>
  </si>
  <si>
    <t>(12+26*0.83)*4/3/13</t>
    <phoneticPr fontId="5" type="noConversion"/>
  </si>
  <si>
    <t>12*4/3/14</t>
    <phoneticPr fontId="3" type="noConversion"/>
  </si>
  <si>
    <t>17*4/3/7</t>
    <phoneticPr fontId="5" type="noConversion"/>
  </si>
  <si>
    <t>帝寶工業股份有限公司(103Q4合併)</t>
    <phoneticPr fontId="4" type="noConversion"/>
  </si>
  <si>
    <t xml:space="preserve">     (103)年</t>
  </si>
  <si>
    <t xml:space="preserve">     (103)年</t>
    <phoneticPr fontId="3" type="noConversion"/>
  </si>
  <si>
    <t xml:space="preserve">     (99)年 - 資本支出 (註一)</t>
    <phoneticPr fontId="3" type="noConversion"/>
  </si>
  <si>
    <t xml:space="preserve">     (103)年=(41+42)</t>
    <phoneticPr fontId="4" type="noConversion"/>
  </si>
  <si>
    <t xml:space="preserve">     (103)年</t>
    <phoneticPr fontId="4" type="noConversion"/>
  </si>
  <si>
    <t xml:space="preserve">     (99)年 - 存貨增加額</t>
    <phoneticPr fontId="5" type="noConversion"/>
  </si>
  <si>
    <t xml:space="preserve">     (99)年 - 現金股利</t>
    <phoneticPr fontId="5" type="noConversion"/>
  </si>
  <si>
    <t>帝寶工業股份有限公司(101Q4合併)</t>
    <phoneticPr fontId="4" type="noConversion"/>
  </si>
  <si>
    <t>單位：仟元</t>
    <phoneticPr fontId="5" type="noConversion"/>
  </si>
  <si>
    <t>20.固定資產毛額(不減累折)</t>
    <phoneticPr fontId="5" type="noConversion"/>
  </si>
  <si>
    <t>(2)長期資金占固定資產比率</t>
  </si>
  <si>
    <t>(3+4)/5</t>
  </si>
  <si>
    <t>3.股東權益淨額</t>
  </si>
  <si>
    <t>22.其他資產（不含無形資產）</t>
    <phoneticPr fontId="5" type="noConversion"/>
  </si>
  <si>
    <t>(6-8-49)/7</t>
    <phoneticPr fontId="5" type="noConversion"/>
  </si>
  <si>
    <t>4.長期負債</t>
  </si>
  <si>
    <t>(5)利息保障倍數</t>
    <phoneticPr fontId="3" type="noConversion"/>
  </si>
  <si>
    <t>5.固定資產淨額</t>
  </si>
  <si>
    <t>(5.1)利息保障倍數聯貸案</t>
    <phoneticPr fontId="3" type="noConversion"/>
  </si>
  <si>
    <t>(10+50+51)/11</t>
    <phoneticPr fontId="3" type="noConversion"/>
  </si>
  <si>
    <t>(6)應收款項週轉率(次)</t>
    <phoneticPr fontId="5" type="noConversion"/>
  </si>
  <si>
    <t>(7)應收款項收現日數</t>
    <phoneticPr fontId="5" type="noConversion"/>
  </si>
  <si>
    <t>26.利息費用(不含利息資本化)</t>
    <phoneticPr fontId="5" type="noConversion"/>
  </si>
  <si>
    <t>(8)存貨週轉率 (次)</t>
    <phoneticPr fontId="5" type="noConversion"/>
  </si>
  <si>
    <t>34/((32+33)/2)</t>
    <phoneticPr fontId="5" type="noConversion"/>
  </si>
  <si>
    <t>(9)應付款項週轉率 (次)</t>
    <phoneticPr fontId="5" type="noConversion"/>
  </si>
  <si>
    <t>34/(sum(44:47)/2)</t>
    <phoneticPr fontId="5" type="noConversion"/>
  </si>
  <si>
    <t>9.其他流動資產（含遞延所得稅資產）</t>
    <phoneticPr fontId="5" type="noConversion"/>
  </si>
  <si>
    <t>(10)平均售貨日數</t>
    <phoneticPr fontId="5" type="noConversion"/>
  </si>
  <si>
    <t>10.所得稅及利息費用前純益</t>
    <phoneticPr fontId="5" type="noConversion"/>
  </si>
  <si>
    <t>(11)固定資產週轉率</t>
    <phoneticPr fontId="5" type="noConversion"/>
  </si>
  <si>
    <t>15/5</t>
    <phoneticPr fontId="5" type="noConversion"/>
  </si>
  <si>
    <t>11.本期利息支出(含資本化利息)</t>
    <phoneticPr fontId="5" type="noConversion"/>
  </si>
  <si>
    <t>(12)總資產週轉率</t>
    <phoneticPr fontId="5" type="noConversion"/>
  </si>
  <si>
    <t>15/2</t>
    <phoneticPr fontId="5" type="noConversion"/>
  </si>
  <si>
    <t>31.期末應收帳款總額</t>
    <phoneticPr fontId="5" type="noConversion"/>
  </si>
  <si>
    <t xml:space="preserve">(13)資產報酬率 </t>
    <phoneticPr fontId="5" type="noConversion"/>
  </si>
  <si>
    <t>(12+26*0.83)/13</t>
    <phoneticPr fontId="5" type="noConversion"/>
  </si>
  <si>
    <t>12/14</t>
    <phoneticPr fontId="3" type="noConversion"/>
  </si>
  <si>
    <t>14.平均股東權益淨額=(3+37)/2</t>
    <phoneticPr fontId="4" type="noConversion"/>
  </si>
  <si>
    <t>(15)營業利益佔實收資本額</t>
    <phoneticPr fontId="5" type="noConversion"/>
  </si>
  <si>
    <t>34.營業成本</t>
    <phoneticPr fontId="5" type="noConversion"/>
  </si>
  <si>
    <t>(16)稅前純益佔實收資本額</t>
    <phoneticPr fontId="5" type="noConversion"/>
  </si>
  <si>
    <t>16.加權平均已發行股數(仟股)</t>
    <phoneticPr fontId="4" type="noConversion"/>
  </si>
  <si>
    <t>(17)純益率</t>
    <phoneticPr fontId="5" type="noConversion"/>
  </si>
  <si>
    <t>36.期初固定資產淨額</t>
  </si>
  <si>
    <t>(18)每股盈餘</t>
    <phoneticPr fontId="5" type="noConversion"/>
  </si>
  <si>
    <t>37.期初股東權益淨額</t>
    <phoneticPr fontId="4" type="noConversion"/>
  </si>
  <si>
    <t>(19)現金流量比率</t>
    <phoneticPr fontId="5" type="noConversion"/>
  </si>
  <si>
    <t xml:space="preserve">     (97)年</t>
  </si>
  <si>
    <t>38.期初資產總額</t>
    <phoneticPr fontId="4" type="noConversion"/>
  </si>
  <si>
    <t>(20)淨現金流量允當比率</t>
    <phoneticPr fontId="5" type="noConversion"/>
  </si>
  <si>
    <t>39.平均固定資產淨額(36+5)/2</t>
    <phoneticPr fontId="4" type="noConversion"/>
  </si>
  <si>
    <t>40.本年發放現金股利</t>
    <phoneticPr fontId="5" type="noConversion"/>
  </si>
  <si>
    <r>
      <t>(22)</t>
    </r>
    <r>
      <rPr>
        <sz val="10"/>
        <rFont val="標楷體"/>
        <family val="4"/>
        <charset val="136"/>
      </rPr>
      <t>營運槓桿度</t>
    </r>
    <phoneticPr fontId="5" type="noConversion"/>
  </si>
  <si>
    <t>41.固定資產購買數</t>
    <phoneticPr fontId="5" type="noConversion"/>
  </si>
  <si>
    <t>(23)財務槓桿度</t>
    <phoneticPr fontId="5" type="noConversion"/>
  </si>
  <si>
    <t xml:space="preserve">     (101)年</t>
    <phoneticPr fontId="4" type="noConversion"/>
  </si>
  <si>
    <t>42.長期投資增加數</t>
    <phoneticPr fontId="5" type="noConversion"/>
  </si>
  <si>
    <t>19.最近五年度(資本支出＋存貨增加額＋現金股利)</t>
    <phoneticPr fontId="5" type="noConversion"/>
  </si>
  <si>
    <t>44.期初應付票據</t>
    <phoneticPr fontId="5" type="noConversion"/>
  </si>
  <si>
    <t xml:space="preserve">     (97)年 - 資本支出 (註一)</t>
    <phoneticPr fontId="5" type="noConversion"/>
  </si>
  <si>
    <t>45.期初應付帳款</t>
    <phoneticPr fontId="5" type="noConversion"/>
  </si>
  <si>
    <t>46.期末應付票據</t>
    <phoneticPr fontId="5" type="noConversion"/>
  </si>
  <si>
    <t>47.期末應付帳款</t>
    <phoneticPr fontId="5" type="noConversion"/>
  </si>
  <si>
    <t>註一：資本支出係包括固定資產及長投之增加數。</t>
    <phoneticPr fontId="5" type="noConversion"/>
  </si>
  <si>
    <t xml:space="preserve">     (100)年</t>
    <phoneticPr fontId="3" type="noConversion"/>
  </si>
  <si>
    <t>註二：資本支出係指每年資本投資之現金流出數。</t>
    <phoneticPr fontId="4" type="noConversion"/>
  </si>
  <si>
    <t xml:space="preserve">     (101)年=(41+42)</t>
    <phoneticPr fontId="4" type="noConversion"/>
  </si>
  <si>
    <t>註三：存貨增加數僅在期末餘額大於期初餘額時方予計入，若年底存貨</t>
    <phoneticPr fontId="4" type="noConversion"/>
  </si>
  <si>
    <t xml:space="preserve">     (97)年 - 存貨增加額</t>
    <phoneticPr fontId="5" type="noConversion"/>
  </si>
  <si>
    <t>　　　減少，則以零計算。</t>
    <phoneticPr fontId="4" type="noConversion"/>
  </si>
  <si>
    <t>註四：營業活動淨現金流量係指現金流量表中營業活動淨現金流入數。</t>
    <phoneticPr fontId="4" type="noConversion"/>
  </si>
  <si>
    <t xml:space="preserve">     (100)年</t>
    <phoneticPr fontId="4" type="noConversion"/>
  </si>
  <si>
    <t xml:space="preserve">    A~C 合計數=24</t>
    <phoneticPr fontId="4" type="noConversion"/>
  </si>
  <si>
    <t xml:space="preserve">     (101)年</t>
    <phoneticPr fontId="4" type="noConversion"/>
  </si>
  <si>
    <t xml:space="preserve">     (97)年 - 現金股利</t>
    <phoneticPr fontId="5" type="noConversion"/>
  </si>
  <si>
    <t>49.預付費用+預付款項</t>
    <phoneticPr fontId="5" type="noConversion"/>
  </si>
  <si>
    <t>50.折舊費用(不含業外)</t>
    <phoneticPr fontId="3" type="noConversion"/>
  </si>
  <si>
    <t>51.攤銷費用</t>
    <phoneticPr fontId="3" type="noConversion"/>
  </si>
  <si>
    <t xml:space="preserve">     (104)年</t>
    <phoneticPr fontId="3" type="noConversion"/>
  </si>
  <si>
    <t xml:space="preserve">     (101)年</t>
    <phoneticPr fontId="3" type="noConversion"/>
  </si>
  <si>
    <t xml:space="preserve">     (102)年</t>
    <phoneticPr fontId="3" type="noConversion"/>
  </si>
  <si>
    <t xml:space="preserve">     (103)年</t>
    <phoneticPr fontId="3" type="noConversion"/>
  </si>
  <si>
    <t xml:space="preserve">     (104)年</t>
    <phoneticPr fontId="3" type="noConversion"/>
  </si>
  <si>
    <t xml:space="preserve">     (105)年</t>
    <phoneticPr fontId="3" type="noConversion"/>
  </si>
  <si>
    <t xml:space="preserve">     (101)年 - 資本支出 (註一)</t>
    <phoneticPr fontId="3" type="noConversion"/>
  </si>
  <si>
    <t xml:space="preserve">     (102)年</t>
    <phoneticPr fontId="3" type="noConversion"/>
  </si>
  <si>
    <t xml:space="preserve">     (103)年</t>
    <phoneticPr fontId="3" type="noConversion"/>
  </si>
  <si>
    <t xml:space="preserve">     (104)年</t>
    <phoneticPr fontId="3" type="noConversion"/>
  </si>
  <si>
    <t xml:space="preserve">     (105)年=(41+42)</t>
    <phoneticPr fontId="4" type="noConversion"/>
  </si>
  <si>
    <t xml:space="preserve">     (101)年 - 存貨增加額</t>
    <phoneticPr fontId="5" type="noConversion"/>
  </si>
  <si>
    <t xml:space="preserve">     (102)年</t>
    <phoneticPr fontId="3" type="noConversion"/>
  </si>
  <si>
    <t xml:space="preserve">     (105)年</t>
    <phoneticPr fontId="4" type="noConversion"/>
  </si>
  <si>
    <t xml:space="preserve">     (101)年 - 現金股利</t>
    <phoneticPr fontId="5" type="noConversion"/>
  </si>
  <si>
    <t xml:space="preserve">     (105)年</t>
    <phoneticPr fontId="3" type="noConversion"/>
  </si>
  <si>
    <t>帝寶工業股份有限公司(105Q4合併)</t>
    <phoneticPr fontId="4" type="noConversion"/>
  </si>
  <si>
    <t xml:space="preserve">     (104)年</t>
  </si>
  <si>
    <t xml:space="preserve">     (105)年</t>
  </si>
  <si>
    <t xml:space="preserve">     (106)年</t>
    <phoneticPr fontId="3" type="noConversion"/>
  </si>
  <si>
    <t xml:space="preserve">     (103)年-資本支出 (註一)</t>
  </si>
  <si>
    <t xml:space="preserve">     (106)年</t>
    <phoneticPr fontId="3" type="noConversion"/>
  </si>
  <si>
    <t xml:space="preserve">     (103)年- 存貨增加額</t>
  </si>
  <si>
    <t xml:space="preserve">     (106)年</t>
    <phoneticPr fontId="3" type="noConversion"/>
  </si>
  <si>
    <t xml:space="preserve">     (103)年 - 現金股利</t>
  </si>
  <si>
    <t xml:space="preserve">     (106)年</t>
    <phoneticPr fontId="3" type="noConversion"/>
  </si>
  <si>
    <t>(22)營運槓桿度</t>
    <phoneticPr fontId="5" type="noConversion"/>
  </si>
  <si>
    <t>帝寶工業股份有限公司(107Q3合併)</t>
    <phoneticPr fontId="4" type="noConversion"/>
  </si>
  <si>
    <t xml:space="preserve">     (107)年第三季</t>
    <phoneticPr fontId="3" type="noConversion"/>
  </si>
  <si>
    <t xml:space="preserve">     (107)年-第三季</t>
    <phoneticPr fontId="4" type="noConversion"/>
  </si>
  <si>
    <t xml:space="preserve">     (107)年-第三季</t>
    <phoneticPr fontId="3" type="noConversion"/>
  </si>
  <si>
    <t>34*4/3/((32+33)/2)</t>
    <phoneticPr fontId="5" type="noConversion"/>
  </si>
  <si>
    <t>34*4/3/(sum(44:47)/2)</t>
    <phoneticPr fontId="5" type="noConversion"/>
  </si>
  <si>
    <t>15*4/3/39</t>
    <phoneticPr fontId="5" type="noConversion"/>
  </si>
  <si>
    <t>15*4/3/13</t>
    <phoneticPr fontId="5" type="noConversion"/>
  </si>
  <si>
    <t>(12+26*0.8)*4/3/13</t>
    <phoneticPr fontId="5" type="noConversion"/>
  </si>
  <si>
    <t>12*4/3/14</t>
    <phoneticPr fontId="3" type="noConversion"/>
  </si>
  <si>
    <t>17*4/3/7</t>
    <phoneticPr fontId="5" type="noConversion"/>
  </si>
  <si>
    <t xml:space="preserve">     (107)年=(41+42)-第三季</t>
    <phoneticPr fontId="4" type="noConversion"/>
  </si>
  <si>
    <t xml:space="preserve">     (107)年</t>
  </si>
  <si>
    <t xml:space="preserve">     (107)年</t>
    <phoneticPr fontId="3" type="noConversion"/>
  </si>
  <si>
    <t xml:space="preserve">     (104)年-資本支出 (註一)</t>
    <phoneticPr fontId="3" type="noConversion"/>
  </si>
  <si>
    <t xml:space="preserve">     (104)年- 存貨增加額</t>
    <phoneticPr fontId="3" type="noConversion"/>
  </si>
  <si>
    <t xml:space="preserve">     (104)年 - 現金股利</t>
    <phoneticPr fontId="3" type="noConversion"/>
  </si>
  <si>
    <t>帝寶工業股份有限公司(108Q2合併)</t>
    <phoneticPr fontId="4" type="noConversion"/>
  </si>
  <si>
    <t xml:space="preserve">     (108)年第二季</t>
    <phoneticPr fontId="3" type="noConversion"/>
  </si>
  <si>
    <t xml:space="preserve">     (108)年=(41+42)-第二季</t>
    <phoneticPr fontId="4" type="noConversion"/>
  </si>
  <si>
    <t xml:space="preserve">     (108)年-第二季</t>
    <phoneticPr fontId="4" type="noConversion"/>
  </si>
  <si>
    <t xml:space="preserve">     (108)年-第二季</t>
    <phoneticPr fontId="3" type="noConversion"/>
  </si>
  <si>
    <t>15*2/(sum(28:31)/2)</t>
    <phoneticPr fontId="5" type="noConversion"/>
  </si>
  <si>
    <t>15*2/39</t>
    <phoneticPr fontId="5" type="noConversion"/>
  </si>
  <si>
    <t>15*2/13</t>
    <phoneticPr fontId="5" type="noConversion"/>
  </si>
  <si>
    <t>(12+26*0.8)*2/13</t>
    <phoneticPr fontId="5" type="noConversion"/>
  </si>
  <si>
    <t>12*2/14</t>
    <phoneticPr fontId="3" type="noConversion"/>
  </si>
  <si>
    <t>帝寶工業股份有限公司(108Q3合併)</t>
    <phoneticPr fontId="4" type="noConversion"/>
  </si>
  <si>
    <t xml:space="preserve">     (108)年第三季</t>
    <phoneticPr fontId="3" type="noConversion"/>
  </si>
  <si>
    <t xml:space="preserve">     (108)年=(41+42)-第三季</t>
    <phoneticPr fontId="4" type="noConversion"/>
  </si>
  <si>
    <t>D</t>
    <phoneticPr fontId="25" type="noConversion"/>
  </si>
  <si>
    <t xml:space="preserve">     (108)年-第三季</t>
    <phoneticPr fontId="4" type="noConversion"/>
  </si>
  <si>
    <t xml:space="preserve">     (108)年-第三季</t>
    <phoneticPr fontId="3" type="noConversion"/>
  </si>
  <si>
    <r>
      <rPr>
        <sz val="10"/>
        <rFont val="標楷體"/>
        <family val="4"/>
        <charset val="136"/>
      </rPr>
      <t>※</t>
    </r>
    <r>
      <rPr>
        <sz val="10"/>
        <rFont val="Book Antiqua"/>
        <family val="1"/>
      </rPr>
      <t xml:space="preserve"> </t>
    </r>
    <r>
      <rPr>
        <sz val="10"/>
        <rFont val="標楷體"/>
        <family val="4"/>
        <charset val="136"/>
      </rPr>
      <t>重</t>
    </r>
    <r>
      <rPr>
        <sz val="10"/>
        <rFont val="Book Antiqua"/>
        <family val="1"/>
      </rPr>
      <t xml:space="preserve"> </t>
    </r>
    <r>
      <rPr>
        <sz val="10"/>
        <rFont val="標楷體"/>
        <family val="4"/>
        <charset val="136"/>
      </rPr>
      <t>要</t>
    </r>
    <r>
      <rPr>
        <sz val="10"/>
        <rFont val="Book Antiqua"/>
        <family val="1"/>
      </rPr>
      <t xml:space="preserve"> </t>
    </r>
    <r>
      <rPr>
        <sz val="10"/>
        <rFont val="標楷體"/>
        <family val="4"/>
        <charset val="136"/>
      </rPr>
      <t>財</t>
    </r>
    <r>
      <rPr>
        <sz val="10"/>
        <rFont val="Book Antiqua"/>
        <family val="1"/>
      </rPr>
      <t xml:space="preserve"> </t>
    </r>
    <r>
      <rPr>
        <sz val="10"/>
        <rFont val="標楷體"/>
        <family val="4"/>
        <charset val="136"/>
      </rPr>
      <t>務</t>
    </r>
    <r>
      <rPr>
        <sz val="10"/>
        <rFont val="Book Antiqua"/>
        <family val="1"/>
      </rPr>
      <t xml:space="preserve"> </t>
    </r>
    <r>
      <rPr>
        <sz val="10"/>
        <rFont val="標楷體"/>
        <family val="4"/>
        <charset val="136"/>
      </rPr>
      <t>比</t>
    </r>
    <r>
      <rPr>
        <sz val="10"/>
        <rFont val="Book Antiqua"/>
        <family val="1"/>
      </rPr>
      <t xml:space="preserve"> </t>
    </r>
    <r>
      <rPr>
        <sz val="10"/>
        <rFont val="標楷體"/>
        <family val="4"/>
        <charset val="136"/>
      </rPr>
      <t>率</t>
    </r>
    <r>
      <rPr>
        <sz val="10"/>
        <rFont val="Book Antiqua"/>
        <family val="1"/>
      </rPr>
      <t xml:space="preserve"> </t>
    </r>
    <r>
      <rPr>
        <sz val="10"/>
        <rFont val="標楷體"/>
        <family val="4"/>
        <charset val="136"/>
      </rPr>
      <t>分</t>
    </r>
    <r>
      <rPr>
        <sz val="10"/>
        <rFont val="Book Antiqua"/>
        <family val="1"/>
      </rPr>
      <t xml:space="preserve"> </t>
    </r>
    <r>
      <rPr>
        <sz val="10"/>
        <rFont val="標楷體"/>
        <family val="4"/>
        <charset val="136"/>
      </rPr>
      <t>析</t>
    </r>
  </si>
  <si>
    <r>
      <rPr>
        <i/>
        <sz val="10"/>
        <rFont val="標楷體"/>
        <family val="4"/>
        <charset val="136"/>
      </rPr>
      <t>帝寶工業股份有限公司</t>
    </r>
    <r>
      <rPr>
        <i/>
        <sz val="10"/>
        <rFont val="Book Antiqua"/>
        <family val="1"/>
      </rPr>
      <t>(108Q4</t>
    </r>
    <r>
      <rPr>
        <i/>
        <sz val="10"/>
        <rFont val="標楷體"/>
        <family val="4"/>
        <charset val="136"/>
      </rPr>
      <t>合併</t>
    </r>
    <r>
      <rPr>
        <i/>
        <sz val="10"/>
        <rFont val="Book Antiqua"/>
        <family val="1"/>
      </rPr>
      <t>)</t>
    </r>
    <phoneticPr fontId="4" type="noConversion"/>
  </si>
  <si>
    <r>
      <rPr>
        <sz val="10"/>
        <rFont val="標楷體"/>
        <family val="4"/>
        <charset val="136"/>
      </rPr>
      <t>單位：仟元</t>
    </r>
    <phoneticPr fontId="5" type="noConversion"/>
  </si>
  <si>
    <t>107Q4</t>
    <phoneticPr fontId="3" type="noConversion"/>
  </si>
  <si>
    <t>DIF %</t>
    <phoneticPr fontId="3" type="noConversion"/>
  </si>
  <si>
    <r>
      <t>(1)</t>
    </r>
    <r>
      <rPr>
        <sz val="10"/>
        <rFont val="標楷體"/>
        <family val="4"/>
        <charset val="136"/>
      </rPr>
      <t>負債占資產比率</t>
    </r>
  </si>
  <si>
    <r>
      <t>1.</t>
    </r>
    <r>
      <rPr>
        <sz val="10"/>
        <rFont val="標楷體"/>
        <family val="4"/>
        <charset val="136"/>
      </rPr>
      <t>負債總額</t>
    </r>
  </si>
  <si>
    <r>
      <t>20.</t>
    </r>
    <r>
      <rPr>
        <sz val="10"/>
        <rFont val="標楷體"/>
        <family val="4"/>
        <charset val="136"/>
      </rPr>
      <t>固定資產毛額</t>
    </r>
    <r>
      <rPr>
        <sz val="10"/>
        <rFont val="Book Antiqua"/>
        <family val="1"/>
      </rPr>
      <t>(</t>
    </r>
    <r>
      <rPr>
        <sz val="10"/>
        <rFont val="標楷體"/>
        <family val="4"/>
        <charset val="136"/>
      </rPr>
      <t>不減累折</t>
    </r>
    <r>
      <rPr>
        <sz val="10"/>
        <rFont val="Book Antiqua"/>
        <family val="1"/>
      </rPr>
      <t>)</t>
    </r>
    <phoneticPr fontId="5" type="noConversion"/>
  </si>
  <si>
    <r>
      <t>(2)</t>
    </r>
    <r>
      <rPr>
        <sz val="10"/>
        <rFont val="標楷體"/>
        <family val="4"/>
        <charset val="136"/>
      </rPr>
      <t>長期資金占不動產、廠房及設備比率</t>
    </r>
    <phoneticPr fontId="3" type="noConversion"/>
  </si>
  <si>
    <t>(3+4)/5</t>
    <phoneticPr fontId="3" type="noConversion"/>
  </si>
  <si>
    <r>
      <t>2.</t>
    </r>
    <r>
      <rPr>
        <sz val="10"/>
        <rFont val="標楷體"/>
        <family val="4"/>
        <charset val="136"/>
      </rPr>
      <t>資產總額</t>
    </r>
  </si>
  <si>
    <r>
      <t>21.</t>
    </r>
    <r>
      <rPr>
        <sz val="10"/>
        <rFont val="標楷體"/>
        <family val="4"/>
        <charset val="136"/>
      </rPr>
      <t>長期投資</t>
    </r>
  </si>
  <si>
    <r>
      <t>(3)</t>
    </r>
    <r>
      <rPr>
        <sz val="10"/>
        <rFont val="標楷體"/>
        <family val="4"/>
        <charset val="136"/>
      </rPr>
      <t>流動比率</t>
    </r>
  </si>
  <si>
    <r>
      <t>3.</t>
    </r>
    <r>
      <rPr>
        <sz val="10"/>
        <rFont val="標楷體"/>
        <family val="4"/>
        <charset val="136"/>
      </rPr>
      <t>權益總額</t>
    </r>
    <phoneticPr fontId="3" type="noConversion"/>
  </si>
  <si>
    <r>
      <t>22.</t>
    </r>
    <r>
      <rPr>
        <sz val="10"/>
        <rFont val="標楷體"/>
        <family val="4"/>
        <charset val="136"/>
      </rPr>
      <t>其他資產</t>
    </r>
    <r>
      <rPr>
        <sz val="10"/>
        <rFont val="Book Antiqua"/>
        <family val="1"/>
      </rPr>
      <t>(</t>
    </r>
    <r>
      <rPr>
        <sz val="10"/>
        <rFont val="標楷體"/>
        <family val="4"/>
        <charset val="136"/>
      </rPr>
      <t>不含無形資產</t>
    </r>
    <r>
      <rPr>
        <sz val="10"/>
        <rFont val="Book Antiqua"/>
        <family val="1"/>
      </rPr>
      <t>)</t>
    </r>
    <phoneticPr fontId="5" type="noConversion"/>
  </si>
  <si>
    <r>
      <t>(4)</t>
    </r>
    <r>
      <rPr>
        <sz val="10"/>
        <rFont val="標楷體"/>
        <family val="4"/>
        <charset val="136"/>
      </rPr>
      <t>速動比率</t>
    </r>
  </si>
  <si>
    <r>
      <t>4.</t>
    </r>
    <r>
      <rPr>
        <sz val="10"/>
        <rFont val="標楷體"/>
        <family val="4"/>
        <charset val="136"/>
      </rPr>
      <t>非流動負債</t>
    </r>
    <phoneticPr fontId="3" type="noConversion"/>
  </si>
  <si>
    <r>
      <t>23.</t>
    </r>
    <r>
      <rPr>
        <sz val="10"/>
        <rFont val="標楷體"/>
        <family val="4"/>
        <charset val="136"/>
      </rPr>
      <t>營運資金</t>
    </r>
    <r>
      <rPr>
        <sz val="10"/>
        <rFont val="Book Antiqua"/>
        <family val="1"/>
      </rPr>
      <t>=CA-CL</t>
    </r>
  </si>
  <si>
    <r>
      <t>(5)</t>
    </r>
    <r>
      <rPr>
        <sz val="10"/>
        <rFont val="標楷體"/>
        <family val="4"/>
        <charset val="136"/>
      </rPr>
      <t>利息保障倍數</t>
    </r>
    <phoneticPr fontId="3" type="noConversion"/>
  </si>
  <si>
    <r>
      <t>5.</t>
    </r>
    <r>
      <rPr>
        <sz val="10"/>
        <rFont val="標楷體"/>
        <family val="4"/>
        <charset val="136"/>
      </rPr>
      <t>不動產、廠房及設備淨額</t>
    </r>
    <phoneticPr fontId="3" type="noConversion"/>
  </si>
  <si>
    <r>
      <t>24.</t>
    </r>
    <r>
      <rPr>
        <sz val="10"/>
        <rFont val="標楷體"/>
        <family val="4"/>
        <charset val="136"/>
      </rPr>
      <t>變動成本及費用</t>
    </r>
  </si>
  <si>
    <r>
      <t>(5.1)</t>
    </r>
    <r>
      <rPr>
        <sz val="10"/>
        <rFont val="標楷體"/>
        <family val="4"/>
        <charset val="136"/>
      </rPr>
      <t>利息保障倍數聯貸案</t>
    </r>
    <phoneticPr fontId="3" type="noConversion"/>
  </si>
  <si>
    <r>
      <t>5a.</t>
    </r>
    <r>
      <rPr>
        <sz val="10"/>
        <rFont val="標楷體"/>
        <family val="4"/>
        <charset val="136"/>
      </rPr>
      <t>母公司稅後損益</t>
    </r>
    <phoneticPr fontId="3" type="noConversion"/>
  </si>
  <si>
    <r>
      <t>(6)</t>
    </r>
    <r>
      <rPr>
        <sz val="10"/>
        <rFont val="標楷體"/>
        <family val="4"/>
        <charset val="136"/>
      </rPr>
      <t>應收款項週轉率</t>
    </r>
    <r>
      <rPr>
        <sz val="10"/>
        <rFont val="Book Antiqua"/>
        <family val="1"/>
      </rPr>
      <t>(</t>
    </r>
    <r>
      <rPr>
        <sz val="10"/>
        <rFont val="標楷體"/>
        <family val="4"/>
        <charset val="136"/>
      </rPr>
      <t>次</t>
    </r>
    <r>
      <rPr>
        <sz val="10"/>
        <rFont val="Book Antiqua"/>
        <family val="1"/>
      </rPr>
      <t>)</t>
    </r>
    <phoneticPr fontId="5" type="noConversion"/>
  </si>
  <si>
    <r>
      <t>6.</t>
    </r>
    <r>
      <rPr>
        <sz val="10"/>
        <rFont val="標楷體"/>
        <family val="4"/>
        <charset val="136"/>
      </rPr>
      <t>流動資產</t>
    </r>
    <phoneticPr fontId="4" type="noConversion"/>
  </si>
  <si>
    <r>
      <t>25.</t>
    </r>
    <r>
      <rPr>
        <sz val="10"/>
        <rFont val="標楷體"/>
        <family val="4"/>
        <charset val="136"/>
      </rPr>
      <t>營業利益</t>
    </r>
  </si>
  <si>
    <r>
      <t>(7)</t>
    </r>
    <r>
      <rPr>
        <sz val="10"/>
        <rFont val="標楷體"/>
        <family val="4"/>
        <charset val="136"/>
      </rPr>
      <t>應收款項收現日數</t>
    </r>
    <phoneticPr fontId="5" type="noConversion"/>
  </si>
  <si>
    <r>
      <t>7.</t>
    </r>
    <r>
      <rPr>
        <sz val="10"/>
        <rFont val="標楷體"/>
        <family val="4"/>
        <charset val="136"/>
      </rPr>
      <t>流動負債</t>
    </r>
    <phoneticPr fontId="4" type="noConversion"/>
  </si>
  <si>
    <r>
      <t>26.</t>
    </r>
    <r>
      <rPr>
        <sz val="10"/>
        <rFont val="標楷體"/>
        <family val="4"/>
        <charset val="136"/>
      </rPr>
      <t>利息費用</t>
    </r>
    <r>
      <rPr>
        <sz val="10"/>
        <rFont val="Book Antiqua"/>
        <family val="1"/>
      </rPr>
      <t>(</t>
    </r>
    <r>
      <rPr>
        <sz val="10"/>
        <rFont val="標楷體"/>
        <family val="4"/>
        <charset val="136"/>
      </rPr>
      <t>不含利息資本化</t>
    </r>
    <r>
      <rPr>
        <sz val="10"/>
        <rFont val="Book Antiqua"/>
        <family val="1"/>
      </rPr>
      <t>)</t>
    </r>
    <phoneticPr fontId="5" type="noConversion"/>
  </si>
  <si>
    <r>
      <t>(8)</t>
    </r>
    <r>
      <rPr>
        <sz val="10"/>
        <rFont val="標楷體"/>
        <family val="4"/>
        <charset val="136"/>
      </rPr>
      <t>存貨週轉率</t>
    </r>
    <r>
      <rPr>
        <sz val="10"/>
        <rFont val="Book Antiqua"/>
        <family val="1"/>
      </rPr>
      <t xml:space="preserve"> (</t>
    </r>
    <r>
      <rPr>
        <sz val="10"/>
        <rFont val="標楷體"/>
        <family val="4"/>
        <charset val="136"/>
      </rPr>
      <t>次</t>
    </r>
    <r>
      <rPr>
        <sz val="10"/>
        <rFont val="Book Antiqua"/>
        <family val="1"/>
      </rPr>
      <t>)</t>
    </r>
    <phoneticPr fontId="5" type="noConversion"/>
  </si>
  <si>
    <t>34/((32+33)/2)</t>
    <phoneticPr fontId="5" type="noConversion"/>
  </si>
  <si>
    <r>
      <t>8.</t>
    </r>
    <r>
      <rPr>
        <sz val="10"/>
        <rFont val="標楷體"/>
        <family val="4"/>
        <charset val="136"/>
      </rPr>
      <t>存貨淨額</t>
    </r>
    <phoneticPr fontId="4" type="noConversion"/>
  </si>
  <si>
    <r>
      <t>27.</t>
    </r>
    <r>
      <rPr>
        <sz val="10"/>
        <rFont val="標楷體"/>
        <family val="4"/>
        <charset val="136"/>
      </rPr>
      <t>稅前純益</t>
    </r>
  </si>
  <si>
    <r>
      <t>(9)</t>
    </r>
    <r>
      <rPr>
        <sz val="10"/>
        <rFont val="標楷體"/>
        <family val="4"/>
        <charset val="136"/>
      </rPr>
      <t>應付款項週轉率</t>
    </r>
    <r>
      <rPr>
        <sz val="10"/>
        <rFont val="Book Antiqua"/>
        <family val="1"/>
      </rPr>
      <t xml:space="preserve"> (</t>
    </r>
    <r>
      <rPr>
        <sz val="10"/>
        <rFont val="標楷體"/>
        <family val="4"/>
        <charset val="136"/>
      </rPr>
      <t>次</t>
    </r>
    <r>
      <rPr>
        <sz val="10"/>
        <rFont val="Book Antiqua"/>
        <family val="1"/>
      </rPr>
      <t>)</t>
    </r>
    <phoneticPr fontId="5" type="noConversion"/>
  </si>
  <si>
    <t>34/(sum(44:47)/2)</t>
    <phoneticPr fontId="5" type="noConversion"/>
  </si>
  <si>
    <r>
      <t>9.</t>
    </r>
    <r>
      <rPr>
        <sz val="10"/>
        <rFont val="標楷體"/>
        <family val="4"/>
        <charset val="136"/>
      </rPr>
      <t>其他流動資產</t>
    </r>
    <phoneticPr fontId="5" type="noConversion"/>
  </si>
  <si>
    <r>
      <t>28.</t>
    </r>
    <r>
      <rPr>
        <sz val="10"/>
        <rFont val="標楷體"/>
        <family val="4"/>
        <charset val="136"/>
      </rPr>
      <t>期初應收票據總額</t>
    </r>
    <phoneticPr fontId="5" type="noConversion"/>
  </si>
  <si>
    <r>
      <t>(10)</t>
    </r>
    <r>
      <rPr>
        <sz val="10"/>
        <rFont val="標楷體"/>
        <family val="4"/>
        <charset val="136"/>
      </rPr>
      <t>平均售貨日數</t>
    </r>
    <phoneticPr fontId="5" type="noConversion"/>
  </si>
  <si>
    <r>
      <t>10.</t>
    </r>
    <r>
      <rPr>
        <sz val="10"/>
        <rFont val="標楷體"/>
        <family val="4"/>
        <charset val="136"/>
      </rPr>
      <t>所得稅及利息費用前純益</t>
    </r>
    <phoneticPr fontId="5" type="noConversion"/>
  </si>
  <si>
    <r>
      <t>29.</t>
    </r>
    <r>
      <rPr>
        <sz val="10"/>
        <rFont val="標楷體"/>
        <family val="4"/>
        <charset val="136"/>
      </rPr>
      <t>期初應收帳款總額</t>
    </r>
    <phoneticPr fontId="5" type="noConversion"/>
  </si>
  <si>
    <r>
      <t>(11)</t>
    </r>
    <r>
      <rPr>
        <sz val="10"/>
        <rFont val="標楷體"/>
        <family val="4"/>
        <charset val="136"/>
      </rPr>
      <t>不動產、廠房及設備週轉率</t>
    </r>
    <phoneticPr fontId="5" type="noConversion"/>
  </si>
  <si>
    <t>15/39</t>
    <phoneticPr fontId="5" type="noConversion"/>
  </si>
  <si>
    <r>
      <t>11.</t>
    </r>
    <r>
      <rPr>
        <sz val="10"/>
        <rFont val="標楷體"/>
        <family val="4"/>
        <charset val="136"/>
      </rPr>
      <t>本期利息支出</t>
    </r>
    <r>
      <rPr>
        <sz val="10"/>
        <rFont val="Book Antiqua"/>
        <family val="1"/>
      </rPr>
      <t>(</t>
    </r>
    <r>
      <rPr>
        <sz val="10"/>
        <rFont val="標楷體"/>
        <family val="4"/>
        <charset val="136"/>
      </rPr>
      <t>含資本化利息</t>
    </r>
    <r>
      <rPr>
        <sz val="10"/>
        <rFont val="Book Antiqua"/>
        <family val="1"/>
      </rPr>
      <t>)</t>
    </r>
    <phoneticPr fontId="5" type="noConversion"/>
  </si>
  <si>
    <r>
      <t>30.</t>
    </r>
    <r>
      <rPr>
        <sz val="10"/>
        <rFont val="標楷體"/>
        <family val="4"/>
        <charset val="136"/>
      </rPr>
      <t>期末應收票據總額</t>
    </r>
    <phoneticPr fontId="5" type="noConversion"/>
  </si>
  <si>
    <r>
      <t>(12)</t>
    </r>
    <r>
      <rPr>
        <sz val="10"/>
        <rFont val="標楷體"/>
        <family val="4"/>
        <charset val="136"/>
      </rPr>
      <t>總資產週轉率</t>
    </r>
    <phoneticPr fontId="5" type="noConversion"/>
  </si>
  <si>
    <t>15/13</t>
    <phoneticPr fontId="5" type="noConversion"/>
  </si>
  <si>
    <r>
      <t>12.</t>
    </r>
    <r>
      <rPr>
        <sz val="10"/>
        <rFont val="標楷體"/>
        <family val="4"/>
        <charset val="136"/>
      </rPr>
      <t>稅後損益</t>
    </r>
  </si>
  <si>
    <r>
      <t>31.</t>
    </r>
    <r>
      <rPr>
        <sz val="10"/>
        <rFont val="標楷體"/>
        <family val="4"/>
        <charset val="136"/>
      </rPr>
      <t>期末應收帳款總額</t>
    </r>
    <phoneticPr fontId="5" type="noConversion"/>
  </si>
  <si>
    <r>
      <t>(13)</t>
    </r>
    <r>
      <rPr>
        <sz val="10"/>
        <rFont val="標楷體"/>
        <family val="4"/>
        <charset val="136"/>
      </rPr>
      <t>資產報酬率</t>
    </r>
    <r>
      <rPr>
        <sz val="10"/>
        <rFont val="Book Antiqua"/>
        <family val="1"/>
      </rPr>
      <t xml:space="preserve"> </t>
    </r>
    <phoneticPr fontId="5" type="noConversion"/>
  </si>
  <si>
    <t>(12+26*0.8)/13</t>
    <phoneticPr fontId="5" type="noConversion"/>
  </si>
  <si>
    <r>
      <t>13.</t>
    </r>
    <r>
      <rPr>
        <sz val="10"/>
        <rFont val="標楷體"/>
        <family val="4"/>
        <charset val="136"/>
      </rPr>
      <t>平均資產總額</t>
    </r>
    <r>
      <rPr>
        <sz val="10"/>
        <rFont val="Book Antiqua"/>
        <family val="1"/>
      </rPr>
      <t>=(2+38)/2</t>
    </r>
    <phoneticPr fontId="4" type="noConversion"/>
  </si>
  <si>
    <r>
      <t>32.</t>
    </r>
    <r>
      <rPr>
        <sz val="10"/>
        <rFont val="標楷體"/>
        <family val="4"/>
        <charset val="136"/>
      </rPr>
      <t>期初存貨總額</t>
    </r>
    <phoneticPr fontId="5" type="noConversion"/>
  </si>
  <si>
    <r>
      <t>(14)</t>
    </r>
    <r>
      <rPr>
        <sz val="10"/>
        <rFont val="標楷體"/>
        <family val="4"/>
        <charset val="136"/>
      </rPr>
      <t>股東權益報酬率</t>
    </r>
    <phoneticPr fontId="5" type="noConversion"/>
  </si>
  <si>
    <t>12/14</t>
    <phoneticPr fontId="3" type="noConversion"/>
  </si>
  <si>
    <r>
      <t>14.</t>
    </r>
    <r>
      <rPr>
        <sz val="10"/>
        <rFont val="標楷體"/>
        <family val="4"/>
        <charset val="136"/>
      </rPr>
      <t>平均股東權益淨額</t>
    </r>
    <r>
      <rPr>
        <sz val="10"/>
        <rFont val="Book Antiqua"/>
        <family val="1"/>
      </rPr>
      <t>=(3+37)/2</t>
    </r>
    <phoneticPr fontId="4" type="noConversion"/>
  </si>
  <si>
    <r>
      <t>33.</t>
    </r>
    <r>
      <rPr>
        <sz val="10"/>
        <rFont val="標楷體"/>
        <family val="4"/>
        <charset val="136"/>
      </rPr>
      <t>期末存貨總額</t>
    </r>
    <phoneticPr fontId="5" type="noConversion"/>
  </si>
  <si>
    <r>
      <t>(15)</t>
    </r>
    <r>
      <rPr>
        <sz val="10"/>
        <rFont val="標楷體"/>
        <family val="4"/>
        <charset val="136"/>
      </rPr>
      <t>營業利益佔實收資本額</t>
    </r>
    <phoneticPr fontId="5" type="noConversion"/>
  </si>
  <si>
    <t>25/35</t>
    <phoneticPr fontId="3" type="noConversion"/>
  </si>
  <si>
    <r>
      <t>15.</t>
    </r>
    <r>
      <rPr>
        <sz val="10"/>
        <rFont val="標楷體"/>
        <family val="4"/>
        <charset val="136"/>
      </rPr>
      <t>銷貨淨額</t>
    </r>
  </si>
  <si>
    <r>
      <t>34.</t>
    </r>
    <r>
      <rPr>
        <sz val="10"/>
        <rFont val="標楷體"/>
        <family val="4"/>
        <charset val="136"/>
      </rPr>
      <t>營業成本</t>
    </r>
    <phoneticPr fontId="5" type="noConversion"/>
  </si>
  <si>
    <r>
      <t>(16)</t>
    </r>
    <r>
      <rPr>
        <sz val="10"/>
        <rFont val="標楷體"/>
        <family val="4"/>
        <charset val="136"/>
      </rPr>
      <t>稅前純益佔實收資本額</t>
    </r>
    <phoneticPr fontId="5" type="noConversion"/>
  </si>
  <si>
    <t>27/35</t>
    <phoneticPr fontId="3" type="noConversion"/>
  </si>
  <si>
    <r>
      <t>16.</t>
    </r>
    <r>
      <rPr>
        <sz val="10"/>
        <rFont val="標楷體"/>
        <family val="4"/>
        <charset val="136"/>
      </rPr>
      <t>加權平均已發行股數</t>
    </r>
    <r>
      <rPr>
        <sz val="10"/>
        <rFont val="Book Antiqua"/>
        <family val="1"/>
      </rPr>
      <t>(</t>
    </r>
    <r>
      <rPr>
        <sz val="10"/>
        <rFont val="標楷體"/>
        <family val="4"/>
        <charset val="136"/>
      </rPr>
      <t>仟股</t>
    </r>
    <r>
      <rPr>
        <sz val="10"/>
        <rFont val="Book Antiqua"/>
        <family val="1"/>
      </rPr>
      <t>)</t>
    </r>
    <phoneticPr fontId="4" type="noConversion"/>
  </si>
  <si>
    <r>
      <t>35.</t>
    </r>
    <r>
      <rPr>
        <sz val="10"/>
        <rFont val="標楷體"/>
        <family val="4"/>
        <charset val="136"/>
      </rPr>
      <t>實收資本額</t>
    </r>
  </si>
  <si>
    <r>
      <t>(17)</t>
    </r>
    <r>
      <rPr>
        <sz val="10"/>
        <rFont val="標楷體"/>
        <family val="4"/>
        <charset val="136"/>
      </rPr>
      <t>純益率</t>
    </r>
    <phoneticPr fontId="5" type="noConversion"/>
  </si>
  <si>
    <r>
      <t>17.</t>
    </r>
    <r>
      <rPr>
        <sz val="10"/>
        <rFont val="標楷體"/>
        <family val="4"/>
        <charset val="136"/>
      </rPr>
      <t>營業活動淨現金流量</t>
    </r>
  </si>
  <si>
    <r>
      <t>36.</t>
    </r>
    <r>
      <rPr>
        <sz val="10"/>
        <rFont val="標楷體"/>
        <family val="4"/>
        <charset val="136"/>
      </rPr>
      <t>期初不動產、廠房及設備淨額</t>
    </r>
    <phoneticPr fontId="3" type="noConversion"/>
  </si>
  <si>
    <r>
      <t>(18)</t>
    </r>
    <r>
      <rPr>
        <sz val="10"/>
        <rFont val="標楷體"/>
        <family val="4"/>
        <charset val="136"/>
      </rPr>
      <t>每股盈餘</t>
    </r>
    <phoneticPr fontId="5" type="noConversion"/>
  </si>
  <si>
    <r>
      <t>18.</t>
    </r>
    <r>
      <rPr>
        <sz val="10"/>
        <rFont val="標楷體"/>
        <family val="4"/>
        <charset val="136"/>
      </rPr>
      <t>最近五年度營業活動淨現金流量</t>
    </r>
  </si>
  <si>
    <r>
      <t>37.</t>
    </r>
    <r>
      <rPr>
        <sz val="10"/>
        <rFont val="標楷體"/>
        <family val="4"/>
        <charset val="136"/>
      </rPr>
      <t>期初權益總額</t>
    </r>
    <phoneticPr fontId="4" type="noConversion"/>
  </si>
  <si>
    <r>
      <t>(19)</t>
    </r>
    <r>
      <rPr>
        <sz val="10"/>
        <rFont val="標楷體"/>
        <family val="4"/>
        <charset val="136"/>
      </rPr>
      <t>現金流量比率</t>
    </r>
    <phoneticPr fontId="5" type="noConversion"/>
  </si>
  <si>
    <t>17/7</t>
    <phoneticPr fontId="5" type="noConversion"/>
  </si>
  <si>
    <r>
      <t>38.</t>
    </r>
    <r>
      <rPr>
        <sz val="10"/>
        <rFont val="標楷體"/>
        <family val="4"/>
        <charset val="136"/>
      </rPr>
      <t>期初資產總額</t>
    </r>
    <phoneticPr fontId="4" type="noConversion"/>
  </si>
  <si>
    <r>
      <t>(20)</t>
    </r>
    <r>
      <rPr>
        <sz val="10"/>
        <rFont val="標楷體"/>
        <family val="4"/>
        <charset val="136"/>
      </rPr>
      <t>淨現金流量允當比率</t>
    </r>
    <phoneticPr fontId="5" type="noConversion"/>
  </si>
  <si>
    <r>
      <t>39.</t>
    </r>
    <r>
      <rPr>
        <sz val="10"/>
        <rFont val="標楷體"/>
        <family val="4"/>
        <charset val="136"/>
      </rPr>
      <t>平均不動產、廠房及設備淨額</t>
    </r>
    <r>
      <rPr>
        <sz val="10"/>
        <rFont val="Book Antiqua"/>
        <family val="1"/>
      </rPr>
      <t>(36+5)/2</t>
    </r>
    <phoneticPr fontId="4" type="noConversion"/>
  </si>
  <si>
    <r>
      <t>(21)</t>
    </r>
    <r>
      <rPr>
        <sz val="10"/>
        <rFont val="標楷體"/>
        <family val="4"/>
        <charset val="136"/>
      </rPr>
      <t>現金再投資比率</t>
    </r>
    <phoneticPr fontId="5" type="noConversion"/>
  </si>
  <si>
    <t>(17-40)/sum(20:23)</t>
    <phoneticPr fontId="5" type="noConversion"/>
  </si>
  <si>
    <t xml:space="preserve">     (106)年</t>
  </si>
  <si>
    <r>
      <t>40.</t>
    </r>
    <r>
      <rPr>
        <sz val="10"/>
        <rFont val="標楷體"/>
        <family val="4"/>
        <charset val="136"/>
      </rPr>
      <t>本年發放現金股利</t>
    </r>
    <phoneticPr fontId="5" type="noConversion"/>
  </si>
  <si>
    <r>
      <t>(22)</t>
    </r>
    <r>
      <rPr>
        <sz val="10"/>
        <rFont val="標楷體"/>
        <family val="4"/>
        <charset val="136"/>
      </rPr>
      <t>營運槓桿度</t>
    </r>
    <phoneticPr fontId="5" type="noConversion"/>
  </si>
  <si>
    <r>
      <t>41.</t>
    </r>
    <r>
      <rPr>
        <sz val="10"/>
        <rFont val="標楷體"/>
        <family val="4"/>
        <charset val="136"/>
      </rPr>
      <t>固定資產購買數</t>
    </r>
    <phoneticPr fontId="5" type="noConversion"/>
  </si>
  <si>
    <r>
      <t>(23)</t>
    </r>
    <r>
      <rPr>
        <sz val="10"/>
        <rFont val="標楷體"/>
        <family val="4"/>
        <charset val="136"/>
      </rPr>
      <t>財務槓桿度</t>
    </r>
    <phoneticPr fontId="5" type="noConversion"/>
  </si>
  <si>
    <r>
      <t xml:space="preserve">     (108)</t>
    </r>
    <r>
      <rPr>
        <sz val="10"/>
        <rFont val="細明體"/>
        <family val="3"/>
        <charset val="136"/>
      </rPr>
      <t>年</t>
    </r>
    <r>
      <rPr>
        <sz val="10"/>
        <rFont val="標楷體"/>
        <family val="4"/>
        <charset val="136"/>
      </rPr>
      <t/>
    </r>
    <phoneticPr fontId="3" type="noConversion"/>
  </si>
  <si>
    <r>
      <t>42.</t>
    </r>
    <r>
      <rPr>
        <sz val="10"/>
        <rFont val="標楷體"/>
        <family val="4"/>
        <charset val="136"/>
      </rPr>
      <t>長期投資增加數</t>
    </r>
    <phoneticPr fontId="5" type="noConversion"/>
  </si>
  <si>
    <r>
      <t>19.</t>
    </r>
    <r>
      <rPr>
        <sz val="10"/>
        <rFont val="標楷體"/>
        <family val="4"/>
        <charset val="136"/>
      </rPr>
      <t>最近五年度</t>
    </r>
    <r>
      <rPr>
        <sz val="10"/>
        <rFont val="Book Antiqua"/>
        <family val="1"/>
      </rPr>
      <t>(</t>
    </r>
    <r>
      <rPr>
        <sz val="10"/>
        <rFont val="標楷體"/>
        <family val="4"/>
        <charset val="136"/>
      </rPr>
      <t>資本支出＋存貨增加額＋現金股利</t>
    </r>
    <r>
      <rPr>
        <sz val="10"/>
        <rFont val="Book Antiqua"/>
        <family val="1"/>
      </rPr>
      <t>)</t>
    </r>
    <phoneticPr fontId="5" type="noConversion"/>
  </si>
  <si>
    <r>
      <t>44.</t>
    </r>
    <r>
      <rPr>
        <sz val="10"/>
        <rFont val="標楷體"/>
        <family val="4"/>
        <charset val="136"/>
      </rPr>
      <t>期初應付票據</t>
    </r>
    <phoneticPr fontId="5" type="noConversion"/>
  </si>
  <si>
    <r>
      <t xml:space="preserve">     (104)</t>
    </r>
    <r>
      <rPr>
        <sz val="10"/>
        <rFont val="標楷體"/>
        <family val="4"/>
        <charset val="136"/>
      </rPr>
      <t>年</t>
    </r>
    <r>
      <rPr>
        <sz val="10"/>
        <rFont val="Book Antiqua"/>
        <family val="1"/>
      </rPr>
      <t xml:space="preserve"> - </t>
    </r>
    <r>
      <rPr>
        <sz val="10"/>
        <rFont val="標楷體"/>
        <family val="4"/>
        <charset val="136"/>
      </rPr>
      <t>資本支出</t>
    </r>
    <r>
      <rPr>
        <sz val="10"/>
        <rFont val="Book Antiqua"/>
        <family val="1"/>
      </rPr>
      <t xml:space="preserve"> (</t>
    </r>
    <r>
      <rPr>
        <sz val="10"/>
        <rFont val="標楷體"/>
        <family val="4"/>
        <charset val="136"/>
      </rPr>
      <t>註一</t>
    </r>
    <r>
      <rPr>
        <sz val="10"/>
        <rFont val="Book Antiqua"/>
        <family val="1"/>
      </rPr>
      <t>)</t>
    </r>
    <phoneticPr fontId="3" type="noConversion"/>
  </si>
  <si>
    <r>
      <t>45.</t>
    </r>
    <r>
      <rPr>
        <sz val="10"/>
        <rFont val="標楷體"/>
        <family val="4"/>
        <charset val="136"/>
      </rPr>
      <t>期初應付帳款</t>
    </r>
    <phoneticPr fontId="5" type="noConversion"/>
  </si>
  <si>
    <r>
      <t xml:space="preserve">     (105)</t>
    </r>
    <r>
      <rPr>
        <sz val="10"/>
        <rFont val="標楷體"/>
        <family val="4"/>
        <charset val="136"/>
      </rPr>
      <t>年</t>
    </r>
    <phoneticPr fontId="3" type="noConversion"/>
  </si>
  <si>
    <r>
      <t>46.</t>
    </r>
    <r>
      <rPr>
        <sz val="10"/>
        <rFont val="標楷體"/>
        <family val="4"/>
        <charset val="136"/>
      </rPr>
      <t>期末應付票據</t>
    </r>
    <phoneticPr fontId="5" type="noConversion"/>
  </si>
  <si>
    <r>
      <t xml:space="preserve">     (106)</t>
    </r>
    <r>
      <rPr>
        <sz val="10"/>
        <rFont val="標楷體"/>
        <family val="4"/>
        <charset val="136"/>
      </rPr>
      <t>年</t>
    </r>
    <phoneticPr fontId="4" type="noConversion"/>
  </si>
  <si>
    <r>
      <t>47.</t>
    </r>
    <r>
      <rPr>
        <sz val="10"/>
        <rFont val="標楷體"/>
        <family val="4"/>
        <charset val="136"/>
      </rPr>
      <t>期末應付帳款</t>
    </r>
    <phoneticPr fontId="5" type="noConversion"/>
  </si>
  <si>
    <r>
      <rPr>
        <sz val="10"/>
        <rFont val="標楷體"/>
        <family val="4"/>
        <charset val="136"/>
      </rPr>
      <t>註一：資本支出係包括固定資產及長投之增加數。</t>
    </r>
    <phoneticPr fontId="5" type="noConversion"/>
  </si>
  <si>
    <r>
      <t xml:space="preserve">     (107)</t>
    </r>
    <r>
      <rPr>
        <sz val="10"/>
        <rFont val="標楷體"/>
        <family val="4"/>
        <charset val="136"/>
      </rPr>
      <t>年</t>
    </r>
    <phoneticPr fontId="4" type="noConversion"/>
  </si>
  <si>
    <r>
      <rPr>
        <sz val="10"/>
        <color rgb="FF000000"/>
        <rFont val="標楷體"/>
        <family val="4"/>
        <charset val="136"/>
      </rPr>
      <t>註二：資本支出係指每年資本投資之現金流出數。</t>
    </r>
    <phoneticPr fontId="4" type="noConversion"/>
  </si>
  <si>
    <r>
      <t xml:space="preserve">     (108)</t>
    </r>
    <r>
      <rPr>
        <sz val="10"/>
        <rFont val="標楷體"/>
        <family val="4"/>
        <charset val="136"/>
      </rPr>
      <t>年</t>
    </r>
    <r>
      <rPr>
        <sz val="10"/>
        <rFont val="Book Antiqua"/>
        <family val="1"/>
      </rPr>
      <t>=(41+42)</t>
    </r>
    <r>
      <rPr>
        <sz val="12"/>
        <color theme="1"/>
        <rFont val="新細明體"/>
        <family val="2"/>
        <charset val="136"/>
        <scheme val="minor"/>
      </rPr>
      <t/>
    </r>
    <phoneticPr fontId="3" type="noConversion"/>
  </si>
  <si>
    <r>
      <rPr>
        <sz val="10"/>
        <color rgb="FF000000"/>
        <rFont val="標楷體"/>
        <family val="4"/>
        <charset val="136"/>
      </rPr>
      <t>註三：存貨增加數僅在期末餘額大於期初餘額時方予計入，若年底存貨</t>
    </r>
    <phoneticPr fontId="4" type="noConversion"/>
  </si>
  <si>
    <r>
      <t xml:space="preserve">     (104)</t>
    </r>
    <r>
      <rPr>
        <sz val="10"/>
        <rFont val="標楷體"/>
        <family val="4"/>
        <charset val="136"/>
      </rPr>
      <t>年</t>
    </r>
    <r>
      <rPr>
        <sz val="10"/>
        <rFont val="Book Antiqua"/>
        <family val="1"/>
      </rPr>
      <t xml:space="preserve"> - </t>
    </r>
    <r>
      <rPr>
        <sz val="10"/>
        <rFont val="標楷體"/>
        <family val="4"/>
        <charset val="136"/>
      </rPr>
      <t>存貨增加額</t>
    </r>
    <phoneticPr fontId="3" type="noConversion"/>
  </si>
  <si>
    <r>
      <rPr>
        <sz val="10"/>
        <color rgb="FF000000"/>
        <rFont val="標楷體"/>
        <family val="4"/>
        <charset val="136"/>
      </rPr>
      <t>　　　減少，則以零計算。</t>
    </r>
    <phoneticPr fontId="4" type="noConversion"/>
  </si>
  <si>
    <r>
      <rPr>
        <sz val="10"/>
        <color rgb="FF000000"/>
        <rFont val="標楷體"/>
        <family val="4"/>
        <charset val="136"/>
      </rPr>
      <t>註四：營業活動淨現金流量係指現金流量表中營業活動淨現金流入數。</t>
    </r>
    <phoneticPr fontId="4" type="noConversion"/>
  </si>
  <si>
    <r>
      <t xml:space="preserve">    A~C </t>
    </r>
    <r>
      <rPr>
        <sz val="10"/>
        <rFont val="標楷體"/>
        <family val="4"/>
        <charset val="136"/>
      </rPr>
      <t>合計數</t>
    </r>
    <r>
      <rPr>
        <sz val="10"/>
        <rFont val="Book Antiqua"/>
        <family val="1"/>
      </rPr>
      <t>=24</t>
    </r>
    <phoneticPr fontId="4" type="noConversion"/>
  </si>
  <si>
    <r>
      <t xml:space="preserve">     (108)</t>
    </r>
    <r>
      <rPr>
        <sz val="10"/>
        <rFont val="細明體"/>
        <family val="3"/>
        <charset val="136"/>
      </rPr>
      <t>年</t>
    </r>
    <r>
      <rPr>
        <sz val="10"/>
        <rFont val="標楷體"/>
        <family val="4"/>
        <charset val="136"/>
      </rPr>
      <t/>
    </r>
    <phoneticPr fontId="3" type="noConversion"/>
  </si>
  <si>
    <r>
      <t xml:space="preserve">     (104)</t>
    </r>
    <r>
      <rPr>
        <sz val="10"/>
        <rFont val="標楷體"/>
        <family val="4"/>
        <charset val="136"/>
      </rPr>
      <t>年</t>
    </r>
    <r>
      <rPr>
        <sz val="10"/>
        <rFont val="Book Antiqua"/>
        <family val="1"/>
      </rPr>
      <t xml:space="preserve">- </t>
    </r>
    <r>
      <rPr>
        <sz val="10"/>
        <rFont val="標楷體"/>
        <family val="4"/>
        <charset val="136"/>
      </rPr>
      <t>現金股利</t>
    </r>
    <phoneticPr fontId="3" type="noConversion"/>
  </si>
  <si>
    <r>
      <t>49.</t>
    </r>
    <r>
      <rPr>
        <sz val="10"/>
        <rFont val="標楷體"/>
        <family val="4"/>
        <charset val="136"/>
      </rPr>
      <t>預付費用</t>
    </r>
    <r>
      <rPr>
        <sz val="10"/>
        <rFont val="Book Antiqua"/>
        <family val="1"/>
      </rPr>
      <t>+</t>
    </r>
    <r>
      <rPr>
        <sz val="10"/>
        <rFont val="標楷體"/>
        <family val="4"/>
        <charset val="136"/>
      </rPr>
      <t>預付款項</t>
    </r>
    <phoneticPr fontId="5" type="noConversion"/>
  </si>
  <si>
    <r>
      <t xml:space="preserve">     (105)</t>
    </r>
    <r>
      <rPr>
        <sz val="10"/>
        <rFont val="標楷體"/>
        <family val="4"/>
        <charset val="136"/>
      </rPr>
      <t>年</t>
    </r>
    <phoneticPr fontId="3" type="noConversion"/>
  </si>
  <si>
    <r>
      <t>50.</t>
    </r>
    <r>
      <rPr>
        <sz val="10"/>
        <rFont val="標楷體"/>
        <family val="4"/>
        <charset val="136"/>
      </rPr>
      <t>折舊費用</t>
    </r>
    <r>
      <rPr>
        <sz val="10"/>
        <rFont val="Book Antiqua"/>
        <family val="1"/>
      </rPr>
      <t>(</t>
    </r>
    <r>
      <rPr>
        <sz val="10"/>
        <rFont val="標楷體"/>
        <family val="4"/>
        <charset val="136"/>
      </rPr>
      <t>不含業外</t>
    </r>
    <r>
      <rPr>
        <sz val="10"/>
        <rFont val="Book Antiqua"/>
        <family val="1"/>
      </rPr>
      <t>)</t>
    </r>
    <phoneticPr fontId="3" type="noConversion"/>
  </si>
  <si>
    <r>
      <t xml:space="preserve">     (106)</t>
    </r>
    <r>
      <rPr>
        <sz val="10"/>
        <rFont val="標楷體"/>
        <family val="4"/>
        <charset val="136"/>
      </rPr>
      <t>年</t>
    </r>
    <phoneticPr fontId="3" type="noConversion"/>
  </si>
  <si>
    <r>
      <t>51.</t>
    </r>
    <r>
      <rPr>
        <sz val="10"/>
        <rFont val="標楷體"/>
        <family val="4"/>
        <charset val="136"/>
      </rPr>
      <t>攤銷費用</t>
    </r>
    <phoneticPr fontId="3" type="noConversion"/>
  </si>
  <si>
    <r>
      <t xml:space="preserve">     (108)</t>
    </r>
    <r>
      <rPr>
        <sz val="10"/>
        <rFont val="細明體"/>
        <family val="3"/>
        <charset val="136"/>
      </rPr>
      <t>年</t>
    </r>
    <r>
      <rPr>
        <sz val="10"/>
        <rFont val="標楷體"/>
        <family val="4"/>
        <charset val="136"/>
      </rPr>
      <t/>
    </r>
    <phoneticPr fontId="3" type="noConversion"/>
  </si>
  <si>
    <r>
      <rPr>
        <sz val="10"/>
        <rFont val="標楷體"/>
        <family val="4"/>
        <charset val="136"/>
      </rPr>
      <t>註一：</t>
    </r>
  </si>
  <si>
    <r>
      <rPr>
        <sz val="10"/>
        <rFont val="標楷體"/>
        <family val="4"/>
        <charset val="136"/>
      </rPr>
      <t>營業成本</t>
    </r>
  </si>
  <si>
    <r>
      <rPr>
        <sz val="10"/>
        <rFont val="標楷體"/>
        <family val="4"/>
        <charset val="136"/>
      </rPr>
      <t>營業費用</t>
    </r>
  </si>
  <si>
    <r>
      <rPr>
        <sz val="10"/>
        <rFont val="標楷體"/>
        <family val="4"/>
        <charset val="136"/>
      </rPr>
      <t>減：</t>
    </r>
    <r>
      <rPr>
        <sz val="10"/>
        <rFont val="Book Antiqua"/>
        <family val="1"/>
      </rPr>
      <t>(</t>
    </r>
    <r>
      <rPr>
        <sz val="10"/>
        <rFont val="標楷體"/>
        <family val="4"/>
        <charset val="136"/>
      </rPr>
      <t>折舊＋各項攤提</t>
    </r>
    <r>
      <rPr>
        <sz val="10"/>
        <rFont val="Book Antiqua"/>
        <family val="1"/>
      </rPr>
      <t>)(</t>
    </r>
    <r>
      <rPr>
        <sz val="10"/>
        <rFont val="標楷體"/>
        <family val="4"/>
        <charset val="136"/>
      </rPr>
      <t>不含業外</t>
    </r>
    <r>
      <rPr>
        <sz val="10"/>
        <rFont val="Book Antiqua"/>
        <family val="1"/>
      </rPr>
      <t>)</t>
    </r>
  </si>
  <si>
    <r>
      <rPr>
        <sz val="10"/>
        <rFont val="標楷體"/>
        <family val="4"/>
        <charset val="136"/>
      </rPr>
      <t>變動成本合計</t>
    </r>
  </si>
  <si>
    <t xml:space="preserve">     (108)年</t>
  </si>
  <si>
    <t>帝寶工業股份有限公司(109Q1合併)</t>
  </si>
  <si>
    <t>單位：仟元</t>
  </si>
  <si>
    <t>20.固定資產毛額(不減累折)</t>
  </si>
  <si>
    <t>(2)長期資金占不動產、廠房及設備比率</t>
  </si>
  <si>
    <t>3.權益總額</t>
  </si>
  <si>
    <t>22.其他資產(不含無形資產)</t>
  </si>
  <si>
    <t>(6-8-49)/7</t>
  </si>
  <si>
    <t>4.非流動負債</t>
  </si>
  <si>
    <t>(5)利息保障倍數</t>
  </si>
  <si>
    <t>5.不動產、廠房及設備淨額</t>
  </si>
  <si>
    <t>(5.1)利息保障倍數聯貸案</t>
  </si>
  <si>
    <t>(10+50+51)/11</t>
  </si>
  <si>
    <t>5a.母公司稅後損益</t>
  </si>
  <si>
    <t>(6)應收款項週轉率(次)</t>
  </si>
  <si>
    <t>15*4/(sum(28:31)/2)</t>
  </si>
  <si>
    <t>6.流動資產</t>
  </si>
  <si>
    <t>(7)應收款項收現日數</t>
  </si>
  <si>
    <t>365/(6)</t>
  </si>
  <si>
    <t>7.流動負債</t>
  </si>
  <si>
    <t>26.利息費用(不含利息資本化)</t>
  </si>
  <si>
    <t>(8)存貨週轉率 (次)</t>
  </si>
  <si>
    <t>34*4/((32+33)/2)</t>
  </si>
  <si>
    <t>8.存貨淨額</t>
  </si>
  <si>
    <t>(9)應付款項週轉率 (次)</t>
  </si>
  <si>
    <t>34*4/(sum(44:47)/2)</t>
  </si>
  <si>
    <t>9.其他流動資產</t>
  </si>
  <si>
    <t>28.期初應收票據總額</t>
  </si>
  <si>
    <t>(10)平均售貨日數</t>
  </si>
  <si>
    <t>10.所得稅及利息費用前純益</t>
  </si>
  <si>
    <t>29.期初應收帳款總額</t>
  </si>
  <si>
    <t>(11)不動產、廠房及設備週轉率</t>
  </si>
  <si>
    <t>15*4/39</t>
  </si>
  <si>
    <t>11.本期利息支出(含資本化利息)</t>
  </si>
  <si>
    <t>30.期末應收票據總額</t>
  </si>
  <si>
    <t>(12)總資產週轉率</t>
  </si>
  <si>
    <t>15*4/13</t>
  </si>
  <si>
    <t>31.期末應收帳款總額</t>
  </si>
  <si>
    <t xml:space="preserve">(13)資產報酬率 </t>
  </si>
  <si>
    <t>(12+26*0.8)*4/13</t>
  </si>
  <si>
    <t>13.平均資產總額=(2+38)/2</t>
  </si>
  <si>
    <t>32.期初存貨總額</t>
  </si>
  <si>
    <t>(14)股東權益報酬率</t>
  </si>
  <si>
    <t>12*4/14</t>
  </si>
  <si>
    <t>14.平均股東權益淨額=(3+37)/2</t>
  </si>
  <si>
    <t>33.期末存貨總額</t>
  </si>
  <si>
    <t>(15)營業利益佔實收資本額</t>
  </si>
  <si>
    <t>25/35</t>
  </si>
  <si>
    <t>34.營業成本</t>
  </si>
  <si>
    <t>(16)稅前純益佔實收資本額</t>
  </si>
  <si>
    <t>27/35</t>
  </si>
  <si>
    <t>16.加權平均已發行股數(仟股)</t>
  </si>
  <si>
    <t>(17)純益率</t>
  </si>
  <si>
    <t>36.期初不動產、廠房及設備淨額</t>
  </si>
  <si>
    <t>(18)每股盈餘</t>
  </si>
  <si>
    <t>37.期初權益總額</t>
  </si>
  <si>
    <t>(19)現金流量比率</t>
  </si>
  <si>
    <t>17*4/7</t>
  </si>
  <si>
    <t>38.期初資產總額</t>
  </si>
  <si>
    <t>(20)淨現金流量允當比率</t>
  </si>
  <si>
    <t>39.平均不動產、廠房及設備淨額(36+5)/2</t>
  </si>
  <si>
    <t>(21)現金再投資比率</t>
  </si>
  <si>
    <t>(17-40)/sum(20:23)</t>
  </si>
  <si>
    <t>40.本年發放現金股利</t>
  </si>
  <si>
    <t>(22)營運槓桿度</t>
  </si>
  <si>
    <r>
      <rPr>
        <sz val="10"/>
        <rFont val="微軟正黑體"/>
        <family val="2"/>
        <charset val="136"/>
      </rPr>
      <t xml:space="preserve">     (108)年</t>
    </r>
  </si>
  <si>
    <t>41.固定資產購買數</t>
  </si>
  <si>
    <t>(23)財務槓桿度</t>
  </si>
  <si>
    <t xml:space="preserve">     (109)年第一季</t>
  </si>
  <si>
    <t>42.長期投資增加數</t>
  </si>
  <si>
    <t>19.最近五年度(資本支出＋存貨增加額＋現金股利)</t>
    <phoneticPr fontId="3" type="noConversion"/>
  </si>
  <si>
    <t>44.期初應付票據</t>
  </si>
  <si>
    <t>45.期初應付帳款</t>
  </si>
  <si>
    <t>46.期末應付票據</t>
  </si>
  <si>
    <t>47.期末應付帳款</t>
  </si>
  <si>
    <t>註一：資本支出係包括固定資產及長投之增加數。</t>
  </si>
  <si>
    <t>註二：資本支出係指每年資本投資之現金流出數。</t>
  </si>
  <si>
    <t xml:space="preserve">     (109)年=(41+42)-第一季</t>
  </si>
  <si>
    <t>註三：存貨增加數僅在期末餘額大於期初餘額時方予計入，若年底存貨</t>
  </si>
  <si>
    <t xml:space="preserve">     (105)年- 存貨增加額</t>
  </si>
  <si>
    <t>　　　減少，則以零計算。</t>
  </si>
  <si>
    <t>註四：營業活動淨現金流量係指現金流量表中營業活動淨現金流入數。</t>
  </si>
  <si>
    <t xml:space="preserve">    A~C 合計數=24</t>
  </si>
  <si>
    <t>D</t>
  </si>
  <si>
    <t xml:space="preserve">     (109)年-第一季</t>
  </si>
  <si>
    <t xml:space="preserve">     (105)年 - 現金股利</t>
  </si>
  <si>
    <t>49.預付費用+預付款項</t>
  </si>
  <si>
    <t>50.折舊費用(不含業外)</t>
  </si>
  <si>
    <t>51.攤銷費用</t>
  </si>
  <si>
    <t>帝寶工業股份有限公司(109Q2合併)</t>
    <phoneticPr fontId="3" type="noConversion"/>
  </si>
  <si>
    <t>15*2/(sum(28:31)/2)</t>
    <phoneticPr fontId="3" type="noConversion"/>
  </si>
  <si>
    <t>34*2/((32+33)/2)</t>
    <phoneticPr fontId="3" type="noConversion"/>
  </si>
  <si>
    <t>34*2/(sum(44:47)/2)</t>
    <phoneticPr fontId="3" type="noConversion"/>
  </si>
  <si>
    <t>15*2/39</t>
    <phoneticPr fontId="3" type="noConversion"/>
  </si>
  <si>
    <t>15*2/13</t>
    <phoneticPr fontId="3" type="noConversion"/>
  </si>
  <si>
    <t>(12+26*0.8)*2/13</t>
    <phoneticPr fontId="3" type="noConversion"/>
  </si>
  <si>
    <t>17*2/7</t>
    <phoneticPr fontId="3" type="noConversion"/>
  </si>
  <si>
    <t xml:space="preserve">     (109)年第二季</t>
    <phoneticPr fontId="3" type="noConversion"/>
  </si>
  <si>
    <t xml:space="preserve">     (109)年=(41+42)-第二季</t>
    <phoneticPr fontId="3" type="noConversion"/>
  </si>
  <si>
    <t xml:space="preserve">     (109)年-第二季</t>
    <phoneticPr fontId="3" type="noConversion"/>
  </si>
  <si>
    <t>q</t>
    <phoneticPr fontId="3" type="noConversion"/>
  </si>
  <si>
    <t xml:space="preserve">     (109)年第三季</t>
    <phoneticPr fontId="3" type="noConversion"/>
  </si>
  <si>
    <t xml:space="preserve">     (109)年=(41+42)-第三季</t>
    <phoneticPr fontId="3" type="noConversion"/>
  </si>
  <si>
    <t xml:space="preserve">     (109)年-第三季</t>
    <phoneticPr fontId="3" type="noConversion"/>
  </si>
  <si>
    <t>帝寶工業股份有限公司(109Q3合併)</t>
    <phoneticPr fontId="3" type="noConversion"/>
  </si>
  <si>
    <t>15/3*4/(sum(28:31)/2)</t>
    <phoneticPr fontId="3" type="noConversion"/>
  </si>
  <si>
    <t>34/3*4/((32+33)/2)</t>
    <phoneticPr fontId="3" type="noConversion"/>
  </si>
  <si>
    <t>34/3*4/(sum(44:47)/2)</t>
    <phoneticPr fontId="3" type="noConversion"/>
  </si>
  <si>
    <t>15/3*4/39</t>
    <phoneticPr fontId="3" type="noConversion"/>
  </si>
  <si>
    <t>15/3*4/13</t>
    <phoneticPr fontId="3" type="noConversion"/>
  </si>
  <si>
    <t>(12+26*0.8)/3*4/13</t>
    <phoneticPr fontId="3" type="noConversion"/>
  </si>
  <si>
    <t>17/3*4/7</t>
    <phoneticPr fontId="3" type="noConversion"/>
  </si>
  <si>
    <t xml:space="preserve">     (109)年</t>
  </si>
  <si>
    <t xml:space="preserve">     (109)年</t>
    <phoneticPr fontId="3" type="noConversion"/>
  </si>
  <si>
    <t xml:space="preserve">     (109)年</t>
    <phoneticPr fontId="3" type="noConversion"/>
  </si>
  <si>
    <t xml:space="preserve">     (106)年- 存貨增加額</t>
    <phoneticPr fontId="3" type="noConversion"/>
  </si>
  <si>
    <t xml:space="preserve">     (106)年- 現金股利</t>
    <phoneticPr fontId="3" type="noConversion"/>
  </si>
  <si>
    <t>(24)有形淨值</t>
    <phoneticPr fontId="3" type="noConversion"/>
  </si>
  <si>
    <t>48.無形資產</t>
    <phoneticPr fontId="3" type="noConversion"/>
  </si>
  <si>
    <t>3-48</t>
    <phoneticPr fontId="3" type="noConversion"/>
  </si>
  <si>
    <t>15*2/(sum(28:31)/2)</t>
    <phoneticPr fontId="3" type="noConversion"/>
  </si>
  <si>
    <t>34*2/((32+33)/2)</t>
    <phoneticPr fontId="3" type="noConversion"/>
  </si>
  <si>
    <t>34*2/(sum(44:47)/2)</t>
    <phoneticPr fontId="3" type="noConversion"/>
  </si>
  <si>
    <t>15*2/39</t>
    <phoneticPr fontId="3" type="noConversion"/>
  </si>
  <si>
    <t>15*2/13</t>
    <phoneticPr fontId="3" type="noConversion"/>
  </si>
  <si>
    <t>(12+26*0.8)*2/13</t>
    <phoneticPr fontId="3" type="noConversion"/>
  </si>
  <si>
    <t>12*2/14</t>
    <phoneticPr fontId="3" type="noConversion"/>
  </si>
  <si>
    <t>17*2/17</t>
    <phoneticPr fontId="3" type="noConversion"/>
  </si>
  <si>
    <t xml:space="preserve">     (110)年第2季</t>
    <phoneticPr fontId="3" type="noConversion"/>
  </si>
  <si>
    <t xml:space="preserve">     (110)年=(41+42)-第2季</t>
    <phoneticPr fontId="3" type="noConversion"/>
  </si>
  <si>
    <t xml:space="preserve">     (110)年-第2季</t>
    <phoneticPr fontId="3" type="noConversion"/>
  </si>
  <si>
    <t>帝寶工業股份有限公司(110Q2合併)</t>
    <phoneticPr fontId="3" type="noConversion"/>
  </si>
  <si>
    <t xml:space="preserve">     (110)年</t>
    <phoneticPr fontId="3" type="noConversion"/>
  </si>
  <si>
    <t xml:space="preserve">     (111)年第1季</t>
    <phoneticPr fontId="3" type="noConversion"/>
  </si>
  <si>
    <t xml:space="preserve">     (111)年=(41+42)-第1季</t>
    <phoneticPr fontId="3" type="noConversion"/>
  </si>
  <si>
    <t xml:space="preserve">     (107)年- 存貨增加額</t>
    <phoneticPr fontId="3" type="noConversion"/>
  </si>
  <si>
    <t xml:space="preserve">     (111)年-第1季</t>
    <phoneticPr fontId="3" type="noConversion"/>
  </si>
  <si>
    <t xml:space="preserve">     (107)年- 現金股利</t>
    <phoneticPr fontId="3" type="noConversion"/>
  </si>
  <si>
    <t>扣非營業</t>
  </si>
  <si>
    <t>帝寶工業股份有限公司(111Q1合併)</t>
    <phoneticPr fontId="3" type="noConversion"/>
  </si>
  <si>
    <t>15*4/(sum(28:31)/2)</t>
    <phoneticPr fontId="3" type="noConversion"/>
  </si>
  <si>
    <t>34*4/((32+33)/2)</t>
    <phoneticPr fontId="3" type="noConversion"/>
  </si>
  <si>
    <t>34*4/(sum(44:47)/2)</t>
    <phoneticPr fontId="3" type="noConversion"/>
  </si>
  <si>
    <t>15*4/39</t>
    <phoneticPr fontId="3" type="noConversion"/>
  </si>
  <si>
    <t>15*4/13</t>
    <phoneticPr fontId="3" type="noConversion"/>
  </si>
  <si>
    <t>(12+26*0.8)*4/13</t>
    <phoneticPr fontId="3" type="noConversion"/>
  </si>
  <si>
    <t>17*4/17</t>
    <phoneticPr fontId="3" type="noConversion"/>
  </si>
  <si>
    <t>帝寶工業股份有限公司(111Q2合併)</t>
    <phoneticPr fontId="3" type="noConversion"/>
  </si>
  <si>
    <t xml:space="preserve">     (111)年第2季</t>
    <phoneticPr fontId="3" type="noConversion"/>
  </si>
  <si>
    <t xml:space="preserve">     (111)年=(41+42)-第2季</t>
    <phoneticPr fontId="3" type="noConversion"/>
  </si>
  <si>
    <t xml:space="preserve">     (111)年-第2季</t>
    <phoneticPr fontId="3" type="noConversion"/>
  </si>
  <si>
    <t>帝寶工業股份有限公司(111Q3合併)</t>
    <phoneticPr fontId="3" type="noConversion"/>
  </si>
  <si>
    <t xml:space="preserve">     (111)年-第3季</t>
    <phoneticPr fontId="3" type="noConversion"/>
  </si>
  <si>
    <t xml:space="preserve">     (111)年第3季</t>
    <phoneticPr fontId="3" type="noConversion"/>
  </si>
  <si>
    <t xml:space="preserve"> </t>
    <phoneticPr fontId="3" type="noConversion"/>
  </si>
  <si>
    <t xml:space="preserve">     (111)年=(41+42)-第3季</t>
    <phoneticPr fontId="3" type="noConversion"/>
  </si>
  <si>
    <t>365/(21)</t>
    <phoneticPr fontId="3" type="noConversion"/>
  </si>
  <si>
    <t>17.營業活動淨現金流量</t>
    <phoneticPr fontId="3" type="noConversion"/>
  </si>
  <si>
    <t xml:space="preserve">     (111)年</t>
  </si>
  <si>
    <t>從這裡開始</t>
    <phoneticPr fontId="3" type="noConversion"/>
  </si>
  <si>
    <t>(16)稅前純益佔實收資本額</t>
    <phoneticPr fontId="3" type="noConversion"/>
  </si>
  <si>
    <t xml:space="preserve">     (112)年</t>
  </si>
  <si>
    <t xml:space="preserve">     (113)年</t>
    <phoneticPr fontId="3" type="noConversion"/>
  </si>
  <si>
    <t>預付薪資</t>
  </si>
  <si>
    <t>預付租金</t>
  </si>
  <si>
    <t>船長週轉金(海陸運輸業適用)</t>
  </si>
  <si>
    <t>預付保險費</t>
  </si>
  <si>
    <t>用品盤存</t>
  </si>
  <si>
    <t>預付退休金-流動</t>
  </si>
  <si>
    <t>其他預付費用</t>
  </si>
  <si>
    <t>預付貨款</t>
  </si>
  <si>
    <t>預付投資款</t>
  </si>
  <si>
    <t>帝寶工業股份有限公司(115Q1合併)</t>
    <phoneticPr fontId="3" type="noConversion"/>
  </si>
  <si>
    <t xml:space="preserve">     (113)年</t>
  </si>
  <si>
    <t xml:space="preserve">     (114)年</t>
    <phoneticPr fontId="3" type="noConversion"/>
  </si>
  <si>
    <t xml:space="preserve">     (115)年第1季</t>
    <phoneticPr fontId="3" type="noConversion"/>
  </si>
  <si>
    <t xml:space="preserve">     (115)年=(41+42)-第1季</t>
    <phoneticPr fontId="3" type="noConversion"/>
  </si>
  <si>
    <t xml:space="preserve">     (111)年- 存貨增加額</t>
    <phoneticPr fontId="3" type="noConversion"/>
  </si>
  <si>
    <t xml:space="preserve">     (115)年-第1季</t>
    <phoneticPr fontId="3" type="noConversion"/>
  </si>
  <si>
    <t xml:space="preserve">     (111)年- 現金股利</t>
    <phoneticPr fontId="3" type="noConversion"/>
  </si>
  <si>
    <t>115Q1 Final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</si>
</sst>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-* #,##0.00_-;\-* #,##0.00_-;_-* &quot;-&quot;??_-;_-@_-"/>
    <numFmt numFmtId="176" formatCode="_(* #,##0_);_(* \(#,##0\);_(* &quot;-&quot;_);_(@_)"/>
    <numFmt numFmtId="177" formatCode="_(* #,##0.00_);_(* \(#,##0.00\);_(* &quot;-&quot;??_);_(@_)"/>
    <numFmt numFmtId="178" formatCode="#,##0_);[Red]\(#,##0\)"/>
    <numFmt numFmtId="179" formatCode="_(* #,##0.00_);_(* \(#,##0.00\);_(* &quot;-&quot;_);_(@_)"/>
    <numFmt numFmtId="180" formatCode="_-* #,##0_-;\-* #,##0_-;_-* &quot;-&quot;??_-;_-@_-"/>
    <numFmt numFmtId="181" formatCode="#,##0.0000_ "/>
  </numFmts>
  <fonts count="42">
    <font>
      <sz val="10"/>
      <name val="Arial"/>
      <family val="2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b/>
      <sz val="16"/>
      <name val="Times New Roman"/>
      <family val="1"/>
    </font>
    <font>
      <u/>
      <sz val="12"/>
      <color indexed="12"/>
      <name val="新細明體"/>
      <family val="1"/>
      <charset val="136"/>
    </font>
    <font>
      <sz val="12"/>
      <name val="Courier"/>
      <family val="3"/>
    </font>
    <font>
      <sz val="10"/>
      <name val="標楷體"/>
      <family val="4"/>
      <charset val="136"/>
    </font>
    <font>
      <sz val="10"/>
      <color indexed="10"/>
      <name val="標楷體"/>
      <family val="4"/>
      <charset val="136"/>
    </font>
    <font>
      <i/>
      <sz val="10"/>
      <name val="標楷體"/>
      <family val="4"/>
      <charset val="136"/>
    </font>
    <font>
      <sz val="10"/>
      <color rgb="FF000000"/>
      <name val="標楷體"/>
      <family val="4"/>
      <charset val="136"/>
    </font>
    <font>
      <u/>
      <sz val="10"/>
      <color indexed="12"/>
      <name val="標楷體"/>
      <family val="4"/>
      <charset val="136"/>
    </font>
    <font>
      <sz val="12"/>
      <name val="Book Antiqua"/>
      <family val="1"/>
    </font>
    <font>
      <sz val="10"/>
      <name val="Book Antiqua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0"/>
      <name val="微軟正黑體"/>
      <family val="2"/>
      <charset val="136"/>
    </font>
    <font>
      <sz val="10"/>
      <color indexed="10"/>
      <name val="微軟正黑體"/>
      <family val="2"/>
      <charset val="136"/>
    </font>
    <font>
      <i/>
      <sz val="10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sz val="10"/>
      <color rgb="FF000000"/>
      <name val="微軟正黑體"/>
      <family val="2"/>
      <charset val="136"/>
    </font>
    <font>
      <u/>
      <sz val="10"/>
      <color indexed="12"/>
      <name val="微軟正黑體"/>
      <family val="2"/>
      <charset val="136"/>
    </font>
    <font>
      <sz val="10"/>
      <name val="Arial"/>
      <family val="2"/>
    </font>
    <font>
      <sz val="9"/>
      <name val="新細明體"/>
      <family val="2"/>
      <charset val="136"/>
      <scheme val="minor"/>
    </font>
    <font>
      <sz val="10"/>
      <color indexed="10"/>
      <name val="Book Antiqua"/>
      <family val="1"/>
    </font>
    <font>
      <i/>
      <sz val="10"/>
      <name val="Book Antiqua"/>
      <family val="1"/>
    </font>
    <font>
      <sz val="10"/>
      <name val="細明體"/>
      <family val="3"/>
      <charset val="136"/>
    </font>
    <font>
      <sz val="10"/>
      <color rgb="FF000000"/>
      <name val="Book Antiqua"/>
      <family val="1"/>
    </font>
    <font>
      <u/>
      <sz val="10"/>
      <color indexed="12"/>
      <name val="Book Antiqua"/>
      <family val="1"/>
    </font>
    <font>
      <b/>
      <sz val="9"/>
      <name val="Tahoma"/>
      <family val="2"/>
    </font>
    <font>
      <sz val="9"/>
      <name val="Tahoma"/>
      <family val="2"/>
    </font>
    <font>
      <b/>
      <sz val="9"/>
      <name val="Times New Roman"/>
      <family val="1"/>
    </font>
    <font>
      <sz val="9"/>
      <name val="Times New Roman"/>
      <family val="1"/>
    </font>
    <font>
      <sz val="12"/>
      <name val="細明體"/>
      <family val="3"/>
      <charset val="136"/>
    </font>
    <font>
      <sz val="10"/>
      <color theme="1"/>
      <name val="微軟正黑體"/>
      <family val="2"/>
      <charset val="136"/>
    </font>
    <font>
      <sz val="10"/>
      <name val="Geneva"/>
      <family val="2"/>
    </font>
    <font>
      <sz val="9"/>
      <name val="DengXian"/>
      <family val="3"/>
      <charset val="134"/>
    </font>
    <font>
      <sz val="9"/>
      <color indexed="81"/>
      <name val="DengXian"/>
      <family val="3"/>
      <charset val="134"/>
    </font>
    <font>
      <b/>
      <sz val="10"/>
      <color rgb="FFFF0000"/>
      <name val="微軟正黑體"/>
      <family val="2"/>
      <charset val="136"/>
    </font>
    <font>
      <sz val="11"/>
      <color theme="1"/>
      <name val="新細明體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5117038483843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</borders>
  <cellStyleXfs count="12">
    <xf numFmtId="0" fontId="0" fillId="0" borderId="0"/>
    <xf numFmtId="0" fontId="2" fillId="0" borderId="0"/>
    <xf numFmtId="9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/>
    <xf numFmtId="9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0" fontId="37" fillId="0" borderId="0"/>
    <xf numFmtId="0" fontId="41" fillId="0" borderId="0"/>
    <xf numFmtId="43" fontId="41" fillId="0" borderId="0" applyFont="0" applyFill="0" applyBorder="0" applyAlignment="0" applyProtection="0">
      <alignment vertical="center"/>
    </xf>
  </cellStyleXfs>
  <cellXfs count="295">
    <xf numFmtId="0" fontId="0" fillId="0" borderId="0" xfId="0"/>
    <xf numFmtId="0" fontId="8" fillId="0" borderId="0" xfId="1" applyFont="1" applyFill="1" applyBorder="1" applyAlignment="1">
      <alignment horizontal="left"/>
    </xf>
    <xf numFmtId="10" fontId="8" fillId="0" borderId="0" xfId="2" applyNumberFormat="1" applyFont="1" applyFill="1" applyBorder="1"/>
    <xf numFmtId="0" fontId="8" fillId="0" borderId="0" xfId="1" applyFont="1" applyFill="1" applyBorder="1"/>
    <xf numFmtId="178" fontId="8" fillId="0" borderId="0" xfId="3" applyNumberFormat="1" applyFont="1" applyFill="1" applyBorder="1"/>
    <xf numFmtId="178" fontId="8" fillId="0" borderId="0" xfId="1" applyNumberFormat="1" applyFont="1" applyFill="1" applyBorder="1"/>
    <xf numFmtId="0" fontId="9" fillId="0" borderId="0" xfId="1" applyFont="1" applyFill="1" applyBorder="1"/>
    <xf numFmtId="14" fontId="10" fillId="0" borderId="0" xfId="1" applyNumberFormat="1" applyFont="1" applyFill="1" applyBorder="1" applyAlignment="1"/>
    <xf numFmtId="178" fontId="8" fillId="0" borderId="0" xfId="1" applyNumberFormat="1" applyFont="1" applyFill="1" applyBorder="1" applyAlignment="1">
      <alignment horizontal="right"/>
    </xf>
    <xf numFmtId="0" fontId="8" fillId="5" borderId="1" xfId="1" quotePrefix="1" applyFont="1" applyFill="1" applyBorder="1" applyAlignment="1">
      <alignment horizontal="left"/>
    </xf>
    <xf numFmtId="58" fontId="8" fillId="5" borderId="2" xfId="1" quotePrefix="1" applyNumberFormat="1" applyFont="1" applyFill="1" applyBorder="1" applyAlignment="1">
      <alignment horizontal="left"/>
    </xf>
    <xf numFmtId="10" fontId="8" fillId="5" borderId="3" xfId="2" applyNumberFormat="1" applyFont="1" applyFill="1" applyBorder="1"/>
    <xf numFmtId="10" fontId="8" fillId="0" borderId="4" xfId="2" applyNumberFormat="1" applyFont="1" applyFill="1" applyBorder="1"/>
    <xf numFmtId="0" fontId="8" fillId="0" borderId="1" xfId="1" applyFont="1" applyFill="1" applyBorder="1"/>
    <xf numFmtId="178" fontId="8" fillId="0" borderId="4" xfId="3" applyNumberFormat="1" applyFont="1" applyFill="1" applyBorder="1"/>
    <xf numFmtId="0" fontId="8" fillId="0" borderId="5" xfId="1" applyFont="1" applyFill="1" applyBorder="1"/>
    <xf numFmtId="0" fontId="8" fillId="0" borderId="7" xfId="1" applyFont="1" applyFill="1" applyBorder="1"/>
    <xf numFmtId="0" fontId="8" fillId="0" borderId="8" xfId="1" quotePrefix="1" applyFont="1" applyFill="1" applyBorder="1" applyAlignment="1">
      <alignment horizontal="left"/>
    </xf>
    <xf numFmtId="10" fontId="8" fillId="2" borderId="9" xfId="2" applyNumberFormat="1" applyFont="1" applyFill="1" applyBorder="1"/>
    <xf numFmtId="10" fontId="8" fillId="0" borderId="10" xfId="2" applyNumberFormat="1" applyFont="1" applyFill="1" applyBorder="1"/>
    <xf numFmtId="178" fontId="8" fillId="4" borderId="12" xfId="3" applyNumberFormat="1" applyFont="1" applyFill="1" applyBorder="1"/>
    <xf numFmtId="178" fontId="8" fillId="0" borderId="10" xfId="3" applyNumberFormat="1" applyFont="1" applyFill="1" applyBorder="1"/>
    <xf numFmtId="0" fontId="8" fillId="0" borderId="11" xfId="1" applyFont="1" applyFill="1" applyBorder="1"/>
    <xf numFmtId="0" fontId="8" fillId="5" borderId="7" xfId="1" applyFont="1" applyFill="1" applyBorder="1"/>
    <xf numFmtId="0" fontId="8" fillId="5" borderId="8" xfId="1" quotePrefix="1" applyFont="1" applyFill="1" applyBorder="1" applyAlignment="1">
      <alignment horizontal="left"/>
    </xf>
    <xf numFmtId="10" fontId="8" fillId="5" borderId="9" xfId="2" applyNumberFormat="1" applyFont="1" applyFill="1" applyBorder="1"/>
    <xf numFmtId="2" fontId="8" fillId="2" borderId="9" xfId="1" applyNumberFormat="1" applyFont="1" applyFill="1" applyBorder="1"/>
    <xf numFmtId="2" fontId="8" fillId="0" borderId="10" xfId="1" applyNumberFormat="1" applyFont="1" applyFill="1" applyBorder="1"/>
    <xf numFmtId="178" fontId="8" fillId="0" borderId="12" xfId="3" applyNumberFormat="1" applyFont="1" applyFill="1" applyBorder="1"/>
    <xf numFmtId="2" fontId="8" fillId="5" borderId="9" xfId="1" applyNumberFormat="1" applyFont="1" applyFill="1" applyBorder="1"/>
    <xf numFmtId="0" fontId="8" fillId="0" borderId="8" xfId="1" applyFont="1" applyFill="1" applyBorder="1" applyAlignment="1">
      <alignment horizontal="left"/>
    </xf>
    <xf numFmtId="2" fontId="8" fillId="2" borderId="9" xfId="3" applyNumberFormat="1" applyFont="1" applyFill="1" applyBorder="1"/>
    <xf numFmtId="2" fontId="8" fillId="0" borderId="10" xfId="3" applyNumberFormat="1" applyFont="1" applyFill="1" applyBorder="1"/>
    <xf numFmtId="0" fontId="8" fillId="0" borderId="7" xfId="1" quotePrefix="1" applyFont="1" applyFill="1" applyBorder="1" applyAlignment="1">
      <alignment horizontal="left"/>
    </xf>
    <xf numFmtId="1" fontId="8" fillId="0" borderId="10" xfId="1" applyNumberFormat="1" applyFont="1" applyFill="1" applyBorder="1"/>
    <xf numFmtId="0" fontId="8" fillId="0" borderId="7" xfId="1" applyFont="1" applyFill="1" applyBorder="1" applyAlignment="1">
      <alignment horizontal="left"/>
    </xf>
    <xf numFmtId="49" fontId="8" fillId="0" borderId="8" xfId="1" applyNumberFormat="1" applyFont="1" applyFill="1" applyBorder="1" applyAlignment="1">
      <alignment horizontal="left"/>
    </xf>
    <xf numFmtId="4" fontId="8" fillId="2" borderId="9" xfId="2" applyNumberFormat="1" applyFont="1" applyFill="1" applyBorder="1" applyAlignment="1">
      <alignment horizontal="right"/>
    </xf>
    <xf numFmtId="4" fontId="8" fillId="0" borderId="10" xfId="2" applyNumberFormat="1" applyFont="1" applyFill="1" applyBorder="1" applyAlignment="1">
      <alignment horizontal="right"/>
    </xf>
    <xf numFmtId="0" fontId="8" fillId="0" borderId="11" xfId="1" quotePrefix="1" applyFont="1" applyFill="1" applyBorder="1" applyAlignment="1">
      <alignment horizontal="left"/>
    </xf>
    <xf numFmtId="58" fontId="8" fillId="0" borderId="8" xfId="1" quotePrefix="1" applyNumberFormat="1" applyFont="1" applyFill="1" applyBorder="1" applyAlignment="1">
      <alignment horizontal="left"/>
    </xf>
    <xf numFmtId="0" fontId="8" fillId="0" borderId="11" xfId="1" applyFont="1" applyFill="1" applyBorder="1" applyAlignment="1">
      <alignment horizontal="left"/>
    </xf>
    <xf numFmtId="2" fontId="8" fillId="0" borderId="9" xfId="1" applyNumberFormat="1" applyFont="1" applyFill="1" applyBorder="1"/>
    <xf numFmtId="179" fontId="8" fillId="0" borderId="9" xfId="3" applyNumberFormat="1" applyFont="1" applyFill="1" applyBorder="1"/>
    <xf numFmtId="179" fontId="8" fillId="0" borderId="10" xfId="3" applyNumberFormat="1" applyFont="1" applyFill="1" applyBorder="1"/>
    <xf numFmtId="178" fontId="8" fillId="0" borderId="10" xfId="1" applyNumberFormat="1" applyFont="1" applyFill="1" applyBorder="1"/>
    <xf numFmtId="0" fontId="8" fillId="0" borderId="10" xfId="1" applyFont="1" applyFill="1" applyBorder="1" applyAlignment="1">
      <alignment horizontal="left"/>
    </xf>
    <xf numFmtId="178" fontId="8" fillId="0" borderId="12" xfId="1" applyNumberFormat="1" applyFont="1" applyFill="1" applyBorder="1"/>
    <xf numFmtId="0" fontId="11" fillId="0" borderId="13" xfId="1" applyFont="1" applyBorder="1"/>
    <xf numFmtId="10" fontId="8" fillId="0" borderId="9" xfId="2" applyNumberFormat="1" applyFont="1" applyFill="1" applyBorder="1"/>
    <xf numFmtId="0" fontId="11" fillId="0" borderId="14" xfId="1" applyFont="1" applyBorder="1"/>
    <xf numFmtId="0" fontId="8" fillId="0" borderId="15" xfId="1" applyFont="1" applyFill="1" applyBorder="1" applyAlignment="1">
      <alignment horizontal="left"/>
    </xf>
    <xf numFmtId="0" fontId="11" fillId="0" borderId="11" xfId="1" applyFont="1" applyBorder="1"/>
    <xf numFmtId="0" fontId="11" fillId="0" borderId="0" xfId="1" applyFont="1"/>
    <xf numFmtId="178" fontId="8" fillId="0" borderId="10" xfId="1" applyNumberFormat="1" applyFont="1" applyFill="1" applyBorder="1" applyAlignment="1">
      <alignment horizontal="right"/>
    </xf>
    <xf numFmtId="178" fontId="8" fillId="0" borderId="16" xfId="3" applyNumberFormat="1" applyFont="1" applyFill="1" applyBorder="1"/>
    <xf numFmtId="0" fontId="8" fillId="0" borderId="17" xfId="1" applyFont="1" applyFill="1" applyBorder="1"/>
    <xf numFmtId="178" fontId="8" fillId="0" borderId="18" xfId="1" applyNumberFormat="1" applyFont="1" applyFill="1" applyBorder="1"/>
    <xf numFmtId="0" fontId="8" fillId="0" borderId="19" xfId="1" applyFont="1" applyFill="1" applyBorder="1"/>
    <xf numFmtId="0" fontId="8" fillId="0" borderId="20" xfId="1" applyFont="1" applyFill="1" applyBorder="1" applyAlignment="1">
      <alignment horizontal="left"/>
    </xf>
    <xf numFmtId="10" fontId="8" fillId="0" borderId="21" xfId="2" applyNumberFormat="1" applyFont="1" applyFill="1" applyBorder="1"/>
    <xf numFmtId="10" fontId="8" fillId="0" borderId="22" xfId="2" applyNumberFormat="1" applyFont="1" applyFill="1" applyBorder="1"/>
    <xf numFmtId="178" fontId="8" fillId="0" borderId="22" xfId="1" applyNumberFormat="1" applyFont="1" applyFill="1" applyBorder="1"/>
    <xf numFmtId="180" fontId="8" fillId="0" borderId="0" xfId="4" applyNumberFormat="1" applyFont="1" applyFill="1" applyBorder="1"/>
    <xf numFmtId="0" fontId="12" fillId="0" borderId="0" xfId="5" applyFont="1" applyBorder="1" applyAlignment="1" applyProtection="1">
      <alignment horizontal="left" vertical="top" wrapText="1"/>
    </xf>
    <xf numFmtId="0" fontId="8" fillId="0" borderId="0" xfId="1" applyFont="1" applyBorder="1" applyAlignment="1">
      <alignment vertical="top" wrapText="1"/>
    </xf>
    <xf numFmtId="0" fontId="13" fillId="0" borderId="0" xfId="1" applyFont="1" applyFill="1" applyBorder="1"/>
    <xf numFmtId="178" fontId="8" fillId="6" borderId="6" xfId="3" applyNumberFormat="1" applyFont="1" applyFill="1" applyBorder="1"/>
    <xf numFmtId="178" fontId="8" fillId="6" borderId="12" xfId="3" applyNumberFormat="1" applyFont="1" applyFill="1" applyBorder="1"/>
    <xf numFmtId="178" fontId="8" fillId="6" borderId="12" xfId="1" applyNumberFormat="1" applyFont="1" applyFill="1" applyBorder="1"/>
    <xf numFmtId="178" fontId="8" fillId="6" borderId="24" xfId="1" applyNumberFormat="1" applyFont="1" applyFill="1" applyBorder="1"/>
    <xf numFmtId="178" fontId="8" fillId="6" borderId="23" xfId="1" applyNumberFormat="1" applyFont="1" applyFill="1" applyBorder="1"/>
    <xf numFmtId="0" fontId="14" fillId="0" borderId="7" xfId="1" applyFont="1" applyFill="1" applyBorder="1"/>
    <xf numFmtId="0" fontId="14" fillId="0" borderId="8" xfId="1" quotePrefix="1" applyFont="1" applyFill="1" applyBorder="1" applyAlignment="1">
      <alignment horizontal="left"/>
    </xf>
    <xf numFmtId="0" fontId="14" fillId="0" borderId="11" xfId="1" applyFont="1" applyFill="1" applyBorder="1" applyAlignment="1">
      <alignment horizontal="left"/>
    </xf>
    <xf numFmtId="178" fontId="14" fillId="4" borderId="12" xfId="1" applyNumberFormat="1" applyFont="1" applyFill="1" applyBorder="1"/>
    <xf numFmtId="178" fontId="8" fillId="0" borderId="25" xfId="1" applyNumberFormat="1" applyFont="1" applyFill="1" applyBorder="1"/>
    <xf numFmtId="178" fontId="8" fillId="0" borderId="6" xfId="3" applyNumberFormat="1" applyFont="1" applyFill="1" applyBorder="1"/>
    <xf numFmtId="178" fontId="14" fillId="0" borderId="12" xfId="1" applyNumberFormat="1" applyFont="1" applyFill="1" applyBorder="1"/>
    <xf numFmtId="178" fontId="8" fillId="0" borderId="23" xfId="1" applyNumberFormat="1" applyFont="1" applyFill="1" applyBorder="1"/>
    <xf numFmtId="178" fontId="8" fillId="0" borderId="24" xfId="1" applyNumberFormat="1" applyFont="1" applyFill="1" applyBorder="1"/>
    <xf numFmtId="178" fontId="8" fillId="7" borderId="12" xfId="1" applyNumberFormat="1" applyFont="1" applyFill="1" applyBorder="1"/>
    <xf numFmtId="178" fontId="8" fillId="7" borderId="12" xfId="3" applyNumberFormat="1" applyFont="1" applyFill="1" applyBorder="1"/>
    <xf numFmtId="0" fontId="9" fillId="0" borderId="0" xfId="1" applyFont="1" applyFill="1" applyBorder="1" applyAlignment="1">
      <alignment horizontal="left"/>
    </xf>
    <xf numFmtId="178" fontId="8" fillId="4" borderId="6" xfId="3" applyNumberFormat="1" applyFont="1" applyFill="1" applyBorder="1"/>
    <xf numFmtId="178" fontId="8" fillId="5" borderId="12" xfId="3" applyNumberFormat="1" applyFont="1" applyFill="1" applyBorder="1"/>
    <xf numFmtId="178" fontId="8" fillId="8" borderId="12" xfId="3" applyNumberFormat="1" applyFont="1" applyFill="1" applyBorder="1"/>
    <xf numFmtId="178" fontId="8" fillId="4" borderId="12" xfId="1" applyNumberFormat="1" applyFont="1" applyFill="1" applyBorder="1"/>
    <xf numFmtId="0" fontId="8" fillId="2" borderId="7" xfId="1" applyFont="1" applyFill="1" applyBorder="1" applyAlignment="1">
      <alignment horizontal="left"/>
    </xf>
    <xf numFmtId="178" fontId="8" fillId="8" borderId="12" xfId="1" applyNumberFormat="1" applyFont="1" applyFill="1" applyBorder="1"/>
    <xf numFmtId="178" fontId="8" fillId="4" borderId="23" xfId="1" applyNumberFormat="1" applyFont="1" applyFill="1" applyBorder="1"/>
    <xf numFmtId="178" fontId="8" fillId="5" borderId="12" xfId="1" applyNumberFormat="1" applyFont="1" applyFill="1" applyBorder="1"/>
    <xf numFmtId="0" fontId="8" fillId="0" borderId="26" xfId="1" applyFont="1" applyFill="1" applyBorder="1" applyAlignment="1">
      <alignment horizontal="left"/>
    </xf>
    <xf numFmtId="0" fontId="8" fillId="0" borderId="19" xfId="1" applyFont="1" applyFill="1" applyBorder="1" applyAlignment="1">
      <alignment horizontal="left"/>
    </xf>
    <xf numFmtId="178" fontId="8" fillId="4" borderId="24" xfId="1" applyNumberFormat="1" applyFont="1" applyFill="1" applyBorder="1"/>
    <xf numFmtId="178" fontId="8" fillId="9" borderId="12" xfId="3" applyNumberFormat="1" applyFont="1" applyFill="1" applyBorder="1"/>
    <xf numFmtId="178" fontId="8" fillId="9" borderId="6" xfId="3" applyNumberFormat="1" applyFont="1" applyFill="1" applyBorder="1"/>
    <xf numFmtId="178" fontId="8" fillId="9" borderId="12" xfId="1" applyNumberFormat="1" applyFont="1" applyFill="1" applyBorder="1"/>
    <xf numFmtId="178" fontId="8" fillId="9" borderId="23" xfId="1" applyNumberFormat="1" applyFont="1" applyFill="1" applyBorder="1"/>
    <xf numFmtId="178" fontId="8" fillId="9" borderId="24" xfId="1" applyNumberFormat="1" applyFont="1" applyFill="1" applyBorder="1"/>
    <xf numFmtId="178" fontId="8" fillId="9" borderId="0" xfId="1" applyNumberFormat="1" applyFont="1" applyFill="1" applyBorder="1"/>
    <xf numFmtId="178" fontId="8" fillId="9" borderId="25" xfId="1" applyNumberFormat="1" applyFont="1" applyFill="1" applyBorder="1"/>
    <xf numFmtId="0" fontId="18" fillId="0" borderId="0" xfId="1" applyFont="1" applyFill="1" applyBorder="1" applyAlignment="1">
      <alignment horizontal="left"/>
    </xf>
    <xf numFmtId="10" fontId="18" fillId="0" borderId="0" xfId="2" applyNumberFormat="1" applyFont="1" applyFill="1" applyBorder="1"/>
    <xf numFmtId="0" fontId="18" fillId="0" borderId="0" xfId="1" applyFont="1" applyFill="1" applyBorder="1"/>
    <xf numFmtId="178" fontId="18" fillId="0" borderId="0" xfId="3" applyNumberFormat="1" applyFont="1" applyFill="1" applyBorder="1"/>
    <xf numFmtId="178" fontId="18" fillId="0" borderId="0" xfId="1" applyNumberFormat="1" applyFont="1" applyFill="1" applyBorder="1"/>
    <xf numFmtId="0" fontId="19" fillId="0" borderId="0" xfId="1" applyFont="1" applyFill="1" applyBorder="1"/>
    <xf numFmtId="14" fontId="20" fillId="0" borderId="0" xfId="1" applyNumberFormat="1" applyFont="1" applyFill="1" applyBorder="1" applyAlignment="1"/>
    <xf numFmtId="178" fontId="18" fillId="0" borderId="0" xfId="1" applyNumberFormat="1" applyFont="1" applyFill="1" applyBorder="1" applyAlignment="1">
      <alignment horizontal="right"/>
    </xf>
    <xf numFmtId="0" fontId="18" fillId="5" borderId="1" xfId="1" quotePrefix="1" applyFont="1" applyFill="1" applyBorder="1" applyAlignment="1">
      <alignment horizontal="left"/>
    </xf>
    <xf numFmtId="58" fontId="18" fillId="5" borderId="2" xfId="1" quotePrefix="1" applyNumberFormat="1" applyFont="1" applyFill="1" applyBorder="1" applyAlignment="1">
      <alignment horizontal="left"/>
    </xf>
    <xf numFmtId="10" fontId="18" fillId="5" borderId="3" xfId="2" applyNumberFormat="1" applyFont="1" applyFill="1" applyBorder="1"/>
    <xf numFmtId="10" fontId="18" fillId="0" borderId="4" xfId="2" applyNumberFormat="1" applyFont="1" applyFill="1" applyBorder="1"/>
    <xf numFmtId="0" fontId="18" fillId="0" borderId="1" xfId="1" applyFont="1" applyFill="1" applyBorder="1"/>
    <xf numFmtId="178" fontId="18" fillId="6" borderId="6" xfId="3" applyNumberFormat="1" applyFont="1" applyFill="1" applyBorder="1"/>
    <xf numFmtId="178" fontId="18" fillId="0" borderId="4" xfId="3" applyNumberFormat="1" applyFont="1" applyFill="1" applyBorder="1"/>
    <xf numFmtId="0" fontId="18" fillId="0" borderId="5" xfId="1" applyFont="1" applyFill="1" applyBorder="1"/>
    <xf numFmtId="178" fontId="18" fillId="6" borderId="12" xfId="3" applyNumberFormat="1" applyFont="1" applyFill="1" applyBorder="1"/>
    <xf numFmtId="0" fontId="18" fillId="0" borderId="7" xfId="1" applyFont="1" applyFill="1" applyBorder="1"/>
    <xf numFmtId="0" fontId="18" fillId="0" borderId="8" xfId="1" quotePrefix="1" applyFont="1" applyFill="1" applyBorder="1" applyAlignment="1">
      <alignment horizontal="left"/>
    </xf>
    <xf numFmtId="10" fontId="18" fillId="2" borderId="9" xfId="2" applyNumberFormat="1" applyFont="1" applyFill="1" applyBorder="1"/>
    <xf numFmtId="10" fontId="18" fillId="0" borderId="10" xfId="2" applyNumberFormat="1" applyFont="1" applyFill="1" applyBorder="1"/>
    <xf numFmtId="178" fontId="18" fillId="0" borderId="10" xfId="3" applyNumberFormat="1" applyFont="1" applyFill="1" applyBorder="1"/>
    <xf numFmtId="0" fontId="18" fillId="0" borderId="11" xfId="1" applyFont="1" applyFill="1" applyBorder="1"/>
    <xf numFmtId="0" fontId="18" fillId="5" borderId="7" xfId="1" applyFont="1" applyFill="1" applyBorder="1"/>
    <xf numFmtId="0" fontId="18" fillId="5" borderId="8" xfId="1" quotePrefix="1" applyFont="1" applyFill="1" applyBorder="1" applyAlignment="1">
      <alignment horizontal="left"/>
    </xf>
    <xf numFmtId="10" fontId="18" fillId="5" borderId="9" xfId="2" applyNumberFormat="1" applyFont="1" applyFill="1" applyBorder="1"/>
    <xf numFmtId="2" fontId="18" fillId="2" borderId="9" xfId="1" applyNumberFormat="1" applyFont="1" applyFill="1" applyBorder="1"/>
    <xf numFmtId="2" fontId="18" fillId="0" borderId="10" xfId="1" applyNumberFormat="1" applyFont="1" applyFill="1" applyBorder="1"/>
    <xf numFmtId="2" fontId="18" fillId="5" borderId="9" xfId="1" applyNumberFormat="1" applyFont="1" applyFill="1" applyBorder="1"/>
    <xf numFmtId="178" fontId="18" fillId="0" borderId="12" xfId="3" applyNumberFormat="1" applyFont="1" applyFill="1" applyBorder="1"/>
    <xf numFmtId="0" fontId="21" fillId="0" borderId="8" xfId="1" applyFont="1" applyFill="1" applyBorder="1" applyAlignment="1">
      <alignment horizontal="left"/>
    </xf>
    <xf numFmtId="2" fontId="18" fillId="2" borderId="9" xfId="3" applyNumberFormat="1" applyFont="1" applyFill="1" applyBorder="1"/>
    <xf numFmtId="2" fontId="18" fillId="0" borderId="10" xfId="3" applyNumberFormat="1" applyFont="1" applyFill="1" applyBorder="1"/>
    <xf numFmtId="0" fontId="18" fillId="0" borderId="7" xfId="1" quotePrefix="1" applyFont="1" applyFill="1" applyBorder="1" applyAlignment="1">
      <alignment horizontal="left"/>
    </xf>
    <xf numFmtId="1" fontId="18" fillId="0" borderId="10" xfId="1" applyNumberFormat="1" applyFont="1" applyFill="1" applyBorder="1"/>
    <xf numFmtId="0" fontId="18" fillId="0" borderId="7" xfId="1" applyFont="1" applyFill="1" applyBorder="1" applyAlignment="1">
      <alignment horizontal="left"/>
    </xf>
    <xf numFmtId="49" fontId="21" fillId="7" borderId="8" xfId="1" applyNumberFormat="1" applyFont="1" applyFill="1" applyBorder="1" applyAlignment="1">
      <alignment horizontal="left"/>
    </xf>
    <xf numFmtId="4" fontId="18" fillId="2" borderId="9" xfId="2" applyNumberFormat="1" applyFont="1" applyFill="1" applyBorder="1" applyAlignment="1">
      <alignment horizontal="right"/>
    </xf>
    <xf numFmtId="4" fontId="18" fillId="0" borderId="10" xfId="2" applyNumberFormat="1" applyFont="1" applyFill="1" applyBorder="1" applyAlignment="1">
      <alignment horizontal="right"/>
    </xf>
    <xf numFmtId="0" fontId="18" fillId="0" borderId="8" xfId="1" applyFont="1" applyFill="1" applyBorder="1" applyAlignment="1">
      <alignment horizontal="left"/>
    </xf>
    <xf numFmtId="0" fontId="18" fillId="0" borderId="11" xfId="1" quotePrefix="1" applyFont="1" applyFill="1" applyBorder="1" applyAlignment="1">
      <alignment horizontal="left"/>
    </xf>
    <xf numFmtId="58" fontId="21" fillId="0" borderId="8" xfId="1" quotePrefix="1" applyNumberFormat="1" applyFont="1" applyFill="1" applyBorder="1" applyAlignment="1">
      <alignment horizontal="left"/>
    </xf>
    <xf numFmtId="0" fontId="21" fillId="0" borderId="8" xfId="1" quotePrefix="1" applyFont="1" applyFill="1" applyBorder="1" applyAlignment="1">
      <alignment horizontal="left"/>
    </xf>
    <xf numFmtId="0" fontId="18" fillId="0" borderId="11" xfId="1" applyFont="1" applyFill="1" applyBorder="1" applyAlignment="1">
      <alignment horizontal="left"/>
    </xf>
    <xf numFmtId="58" fontId="18" fillId="0" borderId="8" xfId="1" quotePrefix="1" applyNumberFormat="1" applyFont="1" applyFill="1" applyBorder="1" applyAlignment="1">
      <alignment horizontal="left"/>
    </xf>
    <xf numFmtId="179" fontId="18" fillId="0" borderId="9" xfId="3" applyNumberFormat="1" applyFont="1" applyFill="1" applyBorder="1"/>
    <xf numFmtId="179" fontId="18" fillId="0" borderId="10" xfId="3" applyNumberFormat="1" applyFont="1" applyFill="1" applyBorder="1"/>
    <xf numFmtId="178" fontId="18" fillId="6" borderId="12" xfId="1" applyNumberFormat="1" applyFont="1" applyFill="1" applyBorder="1"/>
    <xf numFmtId="178" fontId="18" fillId="0" borderId="10" xfId="1" applyNumberFormat="1" applyFont="1" applyFill="1" applyBorder="1"/>
    <xf numFmtId="0" fontId="18" fillId="0" borderId="10" xfId="1" applyFont="1" applyFill="1" applyBorder="1" applyAlignment="1">
      <alignment horizontal="left"/>
    </xf>
    <xf numFmtId="178" fontId="18" fillId="4" borderId="12" xfId="1" applyNumberFormat="1" applyFont="1" applyFill="1" applyBorder="1"/>
    <xf numFmtId="0" fontId="22" fillId="0" borderId="13" xfId="1" applyFont="1" applyBorder="1"/>
    <xf numFmtId="10" fontId="18" fillId="0" borderId="9" xfId="2" applyNumberFormat="1" applyFont="1" applyFill="1" applyBorder="1"/>
    <xf numFmtId="0" fontId="22" fillId="0" borderId="14" xfId="1" applyFont="1" applyBorder="1"/>
    <xf numFmtId="0" fontId="18" fillId="0" borderId="15" xfId="1" applyFont="1" applyFill="1" applyBorder="1" applyAlignment="1">
      <alignment horizontal="left"/>
    </xf>
    <xf numFmtId="0" fontId="22" fillId="0" borderId="11" xfId="1" applyFont="1" applyBorder="1"/>
    <xf numFmtId="178" fontId="18" fillId="0" borderId="12" xfId="1" applyNumberFormat="1" applyFont="1" applyFill="1" applyBorder="1"/>
    <xf numFmtId="0" fontId="22" fillId="0" borderId="0" xfId="1" applyFont="1"/>
    <xf numFmtId="178" fontId="18" fillId="9" borderId="12" xfId="1" applyNumberFormat="1" applyFont="1" applyFill="1" applyBorder="1"/>
    <xf numFmtId="178" fontId="18" fillId="0" borderId="10" xfId="1" applyNumberFormat="1" applyFont="1" applyFill="1" applyBorder="1" applyAlignment="1">
      <alignment horizontal="right"/>
    </xf>
    <xf numFmtId="178" fontId="18" fillId="0" borderId="16" xfId="3" applyNumberFormat="1" applyFont="1" applyFill="1" applyBorder="1"/>
    <xf numFmtId="0" fontId="18" fillId="0" borderId="17" xfId="1" applyFont="1" applyFill="1" applyBorder="1"/>
    <xf numFmtId="178" fontId="18" fillId="0" borderId="18" xfId="1" applyNumberFormat="1" applyFont="1" applyFill="1" applyBorder="1"/>
    <xf numFmtId="0" fontId="18" fillId="0" borderId="19" xfId="1" applyFont="1" applyFill="1" applyBorder="1"/>
    <xf numFmtId="0" fontId="18" fillId="0" borderId="20" xfId="1" applyFont="1" applyFill="1" applyBorder="1" applyAlignment="1">
      <alignment horizontal="left"/>
    </xf>
    <xf numFmtId="10" fontId="18" fillId="0" borderId="21" xfId="2" applyNumberFormat="1" applyFont="1" applyFill="1" applyBorder="1"/>
    <xf numFmtId="10" fontId="18" fillId="0" borderId="22" xfId="2" applyNumberFormat="1" applyFont="1" applyFill="1" applyBorder="1"/>
    <xf numFmtId="178" fontId="18" fillId="0" borderId="22" xfId="1" applyNumberFormat="1" applyFont="1" applyFill="1" applyBorder="1"/>
    <xf numFmtId="180" fontId="18" fillId="0" borderId="0" xfId="4" applyNumberFormat="1" applyFont="1" applyFill="1" applyBorder="1"/>
    <xf numFmtId="178" fontId="18" fillId="6" borderId="0" xfId="1" applyNumberFormat="1" applyFont="1" applyFill="1" applyBorder="1"/>
    <xf numFmtId="178" fontId="18" fillId="6" borderId="25" xfId="1" applyNumberFormat="1" applyFont="1" applyFill="1" applyBorder="1"/>
    <xf numFmtId="0" fontId="23" fillId="0" borderId="0" xfId="5" applyFont="1" applyBorder="1" applyAlignment="1" applyProtection="1">
      <alignment horizontal="left" vertical="top" wrapText="1"/>
    </xf>
    <xf numFmtId="0" fontId="18" fillId="0" borderId="0" xfId="1" applyFont="1" applyBorder="1" applyAlignment="1">
      <alignment vertical="top" wrapText="1"/>
    </xf>
    <xf numFmtId="178" fontId="18" fillId="6" borderId="18" xfId="3" applyNumberFormat="1" applyFont="1" applyFill="1" applyBorder="1"/>
    <xf numFmtId="10" fontId="18" fillId="2" borderId="9" xfId="7" applyNumberFormat="1" applyFont="1" applyFill="1" applyBorder="1" applyAlignment="1"/>
    <xf numFmtId="49" fontId="21" fillId="0" borderId="8" xfId="1" applyNumberFormat="1" applyFont="1" applyFill="1" applyBorder="1" applyAlignment="1">
      <alignment horizontal="left"/>
    </xf>
    <xf numFmtId="178" fontId="18" fillId="9" borderId="6" xfId="3" applyNumberFormat="1" applyFont="1" applyFill="1" applyBorder="1"/>
    <xf numFmtId="178" fontId="18" fillId="9" borderId="12" xfId="3" applyNumberFormat="1" applyFont="1" applyFill="1" applyBorder="1"/>
    <xf numFmtId="4" fontId="19" fillId="0" borderId="0" xfId="1" applyNumberFormat="1" applyFont="1" applyFill="1" applyBorder="1"/>
    <xf numFmtId="178" fontId="18" fillId="9" borderId="18" xfId="3" applyNumberFormat="1" applyFont="1" applyFill="1" applyBorder="1"/>
    <xf numFmtId="178" fontId="18" fillId="9" borderId="0" xfId="1" applyNumberFormat="1" applyFont="1" applyFill="1" applyBorder="1"/>
    <xf numFmtId="178" fontId="18" fillId="9" borderId="25" xfId="1" applyNumberFormat="1" applyFont="1" applyFill="1" applyBorder="1"/>
    <xf numFmtId="0" fontId="14" fillId="0" borderId="0" xfId="1" applyFont="1" applyFill="1" applyBorder="1" applyAlignment="1">
      <alignment horizontal="left"/>
    </xf>
    <xf numFmtId="10" fontId="14" fillId="0" borderId="0" xfId="2" applyNumberFormat="1" applyFont="1" applyFill="1" applyBorder="1"/>
    <xf numFmtId="0" fontId="14" fillId="0" borderId="0" xfId="1" applyFont="1" applyFill="1" applyBorder="1"/>
    <xf numFmtId="178" fontId="14" fillId="0" borderId="0" xfId="3" applyNumberFormat="1" applyFont="1" applyFill="1" applyBorder="1"/>
    <xf numFmtId="178" fontId="14" fillId="0" borderId="0" xfId="1" applyNumberFormat="1" applyFont="1" applyFill="1" applyBorder="1"/>
    <xf numFmtId="0" fontId="26" fillId="0" borderId="0" xfId="1" applyFont="1" applyFill="1" applyBorder="1"/>
    <xf numFmtId="14" fontId="27" fillId="0" borderId="0" xfId="1" applyNumberFormat="1" applyFont="1" applyFill="1" applyBorder="1" applyAlignment="1"/>
    <xf numFmtId="178" fontId="14" fillId="0" borderId="0" xfId="1" applyNumberFormat="1" applyFont="1" applyFill="1" applyBorder="1" applyAlignment="1">
      <alignment horizontal="right"/>
    </xf>
    <xf numFmtId="0" fontId="14" fillId="5" borderId="1" xfId="1" quotePrefix="1" applyFont="1" applyFill="1" applyBorder="1" applyAlignment="1">
      <alignment horizontal="left"/>
    </xf>
    <xf numFmtId="58" fontId="14" fillId="5" borderId="2" xfId="1" quotePrefix="1" applyNumberFormat="1" applyFont="1" applyFill="1" applyBorder="1" applyAlignment="1">
      <alignment horizontal="left"/>
    </xf>
    <xf numFmtId="10" fontId="14" fillId="5" borderId="3" xfId="2" applyNumberFormat="1" applyFont="1" applyFill="1" applyBorder="1"/>
    <xf numFmtId="10" fontId="14" fillId="0" borderId="4" xfId="2" applyNumberFormat="1" applyFont="1" applyFill="1" applyBorder="1"/>
    <xf numFmtId="0" fontId="14" fillId="0" borderId="1" xfId="1" applyFont="1" applyFill="1" applyBorder="1"/>
    <xf numFmtId="178" fontId="14" fillId="0" borderId="6" xfId="3" applyNumberFormat="1" applyFont="1" applyFill="1" applyBorder="1"/>
    <xf numFmtId="178" fontId="14" fillId="0" borderId="4" xfId="3" applyNumberFormat="1" applyFont="1" applyFill="1" applyBorder="1"/>
    <xf numFmtId="0" fontId="14" fillId="0" borderId="5" xfId="1" applyFont="1" applyFill="1" applyBorder="1"/>
    <xf numFmtId="178" fontId="14" fillId="0" borderId="12" xfId="3" applyNumberFormat="1" applyFont="1" applyFill="1" applyBorder="1"/>
    <xf numFmtId="10" fontId="14" fillId="2" borderId="9" xfId="2" applyNumberFormat="1" applyFont="1" applyFill="1" applyBorder="1"/>
    <xf numFmtId="10" fontId="14" fillId="0" borderId="10" xfId="2" applyNumberFormat="1" applyFont="1" applyFill="1" applyBorder="1"/>
    <xf numFmtId="178" fontId="14" fillId="0" borderId="10" xfId="3" applyNumberFormat="1" applyFont="1" applyFill="1" applyBorder="1"/>
    <xf numFmtId="0" fontId="14" fillId="0" borderId="11" xfId="1" applyFont="1" applyFill="1" applyBorder="1"/>
    <xf numFmtId="0" fontId="14" fillId="5" borderId="7" xfId="1" applyFont="1" applyFill="1" applyBorder="1"/>
    <xf numFmtId="0" fontId="14" fillId="5" borderId="8" xfId="1" quotePrefix="1" applyFont="1" applyFill="1" applyBorder="1" applyAlignment="1">
      <alignment horizontal="left"/>
    </xf>
    <xf numFmtId="10" fontId="14" fillId="5" borderId="9" xfId="2" applyNumberFormat="1" applyFont="1" applyFill="1" applyBorder="1"/>
    <xf numFmtId="2" fontId="14" fillId="2" borderId="9" xfId="1" applyNumberFormat="1" applyFont="1" applyFill="1" applyBorder="1"/>
    <xf numFmtId="2" fontId="14" fillId="0" borderId="10" xfId="1" applyNumberFormat="1" applyFont="1" applyFill="1" applyBorder="1"/>
    <xf numFmtId="2" fontId="14" fillId="5" borderId="9" xfId="1" applyNumberFormat="1" applyFont="1" applyFill="1" applyBorder="1"/>
    <xf numFmtId="0" fontId="14" fillId="0" borderId="8" xfId="1" applyFont="1" applyFill="1" applyBorder="1" applyAlignment="1">
      <alignment horizontal="left"/>
    </xf>
    <xf numFmtId="2" fontId="14" fillId="2" borderId="9" xfId="3" applyNumberFormat="1" applyFont="1" applyFill="1" applyBorder="1"/>
    <xf numFmtId="2" fontId="14" fillId="0" borderId="10" xfId="3" applyNumberFormat="1" applyFont="1" applyFill="1" applyBorder="1"/>
    <xf numFmtId="0" fontId="14" fillId="0" borderId="7" xfId="1" quotePrefix="1" applyFont="1" applyFill="1" applyBorder="1" applyAlignment="1">
      <alignment horizontal="left"/>
    </xf>
    <xf numFmtId="1" fontId="14" fillId="0" borderId="10" xfId="1" applyNumberFormat="1" applyFont="1" applyFill="1" applyBorder="1"/>
    <xf numFmtId="0" fontId="14" fillId="0" borderId="7" xfId="1" applyFont="1" applyFill="1" applyBorder="1" applyAlignment="1">
      <alignment horizontal="left"/>
    </xf>
    <xf numFmtId="49" fontId="14" fillId="0" borderId="8" xfId="1" applyNumberFormat="1" applyFont="1" applyFill="1" applyBorder="1" applyAlignment="1">
      <alignment horizontal="left"/>
    </xf>
    <xf numFmtId="4" fontId="14" fillId="2" borderId="9" xfId="2" applyNumberFormat="1" applyFont="1" applyFill="1" applyBorder="1" applyAlignment="1">
      <alignment horizontal="right"/>
    </xf>
    <xf numFmtId="4" fontId="14" fillId="0" borderId="10" xfId="2" applyNumberFormat="1" applyFont="1" applyFill="1" applyBorder="1" applyAlignment="1">
      <alignment horizontal="right"/>
    </xf>
    <xf numFmtId="0" fontId="14" fillId="0" borderId="11" xfId="1" quotePrefix="1" applyFont="1" applyFill="1" applyBorder="1" applyAlignment="1">
      <alignment horizontal="left"/>
    </xf>
    <xf numFmtId="58" fontId="14" fillId="0" borderId="8" xfId="1" quotePrefix="1" applyNumberFormat="1" applyFont="1" applyFill="1" applyBorder="1" applyAlignment="1">
      <alignment horizontal="left"/>
    </xf>
    <xf numFmtId="2" fontId="14" fillId="0" borderId="9" xfId="1" applyNumberFormat="1" applyFont="1" applyFill="1" applyBorder="1"/>
    <xf numFmtId="179" fontId="14" fillId="0" borderId="9" xfId="3" applyNumberFormat="1" applyFont="1" applyFill="1" applyBorder="1"/>
    <xf numFmtId="179" fontId="14" fillId="0" borderId="10" xfId="3" applyNumberFormat="1" applyFont="1" applyFill="1" applyBorder="1"/>
    <xf numFmtId="178" fontId="14" fillId="0" borderId="10" xfId="1" applyNumberFormat="1" applyFont="1" applyFill="1" applyBorder="1"/>
    <xf numFmtId="0" fontId="14" fillId="0" borderId="10" xfId="1" applyFont="1" applyFill="1" applyBorder="1" applyAlignment="1">
      <alignment horizontal="left"/>
    </xf>
    <xf numFmtId="0" fontId="29" fillId="0" borderId="13" xfId="1" applyFont="1" applyBorder="1"/>
    <xf numFmtId="10" fontId="14" fillId="0" borderId="9" xfId="2" applyNumberFormat="1" applyFont="1" applyFill="1" applyBorder="1"/>
    <xf numFmtId="178" fontId="14" fillId="7" borderId="12" xfId="1" applyNumberFormat="1" applyFont="1" applyFill="1" applyBorder="1"/>
    <xf numFmtId="0" fontId="29" fillId="0" borderId="14" xfId="1" applyFont="1" applyBorder="1"/>
    <xf numFmtId="0" fontId="14" fillId="0" borderId="15" xfId="1" applyFont="1" applyFill="1" applyBorder="1" applyAlignment="1">
      <alignment horizontal="left"/>
    </xf>
    <xf numFmtId="0" fontId="29" fillId="0" borderId="11" xfId="1" applyFont="1" applyBorder="1"/>
    <xf numFmtId="0" fontId="29" fillId="0" borderId="0" xfId="1" applyFont="1"/>
    <xf numFmtId="178" fontId="14" fillId="0" borderId="10" xfId="1" applyNumberFormat="1" applyFont="1" applyFill="1" applyBorder="1" applyAlignment="1">
      <alignment horizontal="right"/>
    </xf>
    <xf numFmtId="0" fontId="14" fillId="0" borderId="20" xfId="1" applyFont="1" applyFill="1" applyBorder="1" applyAlignment="1">
      <alignment horizontal="left"/>
    </xf>
    <xf numFmtId="178" fontId="14" fillId="0" borderId="16" xfId="3" applyNumberFormat="1" applyFont="1" applyFill="1" applyBorder="1"/>
    <xf numFmtId="0" fontId="14" fillId="0" borderId="17" xfId="1" applyFont="1" applyFill="1" applyBorder="1"/>
    <xf numFmtId="178" fontId="14" fillId="0" borderId="18" xfId="1" applyNumberFormat="1" applyFont="1" applyFill="1" applyBorder="1"/>
    <xf numFmtId="0" fontId="14" fillId="0" borderId="19" xfId="1" applyFont="1" applyFill="1" applyBorder="1"/>
    <xf numFmtId="10" fontId="14" fillId="0" borderId="21" xfId="2" applyNumberFormat="1" applyFont="1" applyFill="1" applyBorder="1"/>
    <xf numFmtId="10" fontId="14" fillId="0" borderId="22" xfId="2" applyNumberFormat="1" applyFont="1" applyFill="1" applyBorder="1"/>
    <xf numFmtId="0" fontId="14" fillId="0" borderId="19" xfId="1" applyFont="1" applyFill="1" applyBorder="1" applyAlignment="1">
      <alignment horizontal="left"/>
    </xf>
    <xf numFmtId="178" fontId="14" fillId="0" borderId="18" xfId="3" applyNumberFormat="1" applyFont="1" applyFill="1" applyBorder="1"/>
    <xf numFmtId="178" fontId="14" fillId="0" borderId="22" xfId="1" applyNumberFormat="1" applyFont="1" applyFill="1" applyBorder="1"/>
    <xf numFmtId="180" fontId="14" fillId="0" borderId="0" xfId="4" applyNumberFormat="1" applyFont="1" applyFill="1" applyBorder="1"/>
    <xf numFmtId="178" fontId="14" fillId="0" borderId="25" xfId="1" applyNumberFormat="1" applyFont="1" applyFill="1" applyBorder="1"/>
    <xf numFmtId="0" fontId="30" fillId="0" borderId="0" xfId="5" applyFont="1" applyBorder="1" applyAlignment="1" applyProtection="1">
      <alignment horizontal="left" vertical="top" wrapText="1"/>
    </xf>
    <xf numFmtId="0" fontId="14" fillId="0" borderId="0" xfId="1" applyFont="1" applyBorder="1" applyAlignment="1">
      <alignment vertical="top" wrapText="1"/>
    </xf>
    <xf numFmtId="10" fontId="18" fillId="8" borderId="3" xfId="2" applyNumberFormat="1" applyFont="1" applyFill="1" applyBorder="1"/>
    <xf numFmtId="178" fontId="18" fillId="10" borderId="6" xfId="3" applyNumberFormat="1" applyFont="1" applyFill="1" applyBorder="1"/>
    <xf numFmtId="178" fontId="18" fillId="10" borderId="12" xfId="3" applyNumberFormat="1" applyFont="1" applyFill="1" applyBorder="1"/>
    <xf numFmtId="10" fontId="18" fillId="8" borderId="9" xfId="2" applyNumberFormat="1" applyFont="1" applyFill="1" applyBorder="1"/>
    <xf numFmtId="2" fontId="18" fillId="8" borderId="9" xfId="1" applyNumberFormat="1" applyFont="1" applyFill="1" applyBorder="1"/>
    <xf numFmtId="2" fontId="18" fillId="8" borderId="9" xfId="3" applyNumberFormat="1" applyFont="1" applyFill="1" applyBorder="1"/>
    <xf numFmtId="4" fontId="18" fillId="8" borderId="9" xfId="2" applyNumberFormat="1" applyFont="1" applyFill="1" applyBorder="1" applyAlignment="1">
      <alignment horizontal="right"/>
    </xf>
    <xf numFmtId="10" fontId="18" fillId="8" borderId="9" xfId="7" applyNumberFormat="1" applyFont="1" applyFill="1" applyBorder="1" applyAlignment="1"/>
    <xf numFmtId="178" fontId="18" fillId="8" borderId="12" xfId="3" applyNumberFormat="1" applyFont="1" applyFill="1" applyBorder="1"/>
    <xf numFmtId="10" fontId="18" fillId="11" borderId="9" xfId="2" applyNumberFormat="1" applyFont="1" applyFill="1" applyBorder="1"/>
    <xf numFmtId="178" fontId="18" fillId="11" borderId="12" xfId="3" applyNumberFormat="1" applyFont="1" applyFill="1" applyBorder="1"/>
    <xf numFmtId="178" fontId="18" fillId="12" borderId="12" xfId="1" applyNumberFormat="1" applyFont="1" applyFill="1" applyBorder="1"/>
    <xf numFmtId="178" fontId="18" fillId="10" borderId="12" xfId="1" applyNumberFormat="1" applyFont="1" applyFill="1" applyBorder="1"/>
    <xf numFmtId="178" fontId="18" fillId="10" borderId="0" xfId="1" applyNumberFormat="1" applyFont="1" applyFill="1" applyBorder="1"/>
    <xf numFmtId="178" fontId="18" fillId="10" borderId="25" xfId="1" applyNumberFormat="1" applyFont="1" applyFill="1" applyBorder="1"/>
    <xf numFmtId="43" fontId="19" fillId="0" borderId="0" xfId="8" applyFont="1" applyFill="1" applyBorder="1" applyAlignment="1"/>
    <xf numFmtId="4" fontId="18" fillId="0" borderId="0" xfId="1" applyNumberFormat="1" applyFont="1" applyFill="1" applyBorder="1"/>
    <xf numFmtId="180" fontId="18" fillId="0" borderId="9" xfId="8" applyNumberFormat="1" applyFont="1" applyFill="1" applyBorder="1" applyAlignment="1"/>
    <xf numFmtId="0" fontId="18" fillId="5" borderId="8" xfId="1" applyFont="1" applyFill="1" applyBorder="1" applyAlignment="1">
      <alignment horizontal="left"/>
    </xf>
    <xf numFmtId="181" fontId="18" fillId="0" borderId="0" xfId="1" applyNumberFormat="1" applyFont="1" applyFill="1" applyBorder="1"/>
    <xf numFmtId="3" fontId="13" fillId="0" borderId="0" xfId="0" applyNumberFormat="1" applyFont="1" applyAlignment="1">
      <alignment horizontal="justify" wrapText="1"/>
    </xf>
    <xf numFmtId="0" fontId="13" fillId="0" borderId="0" xfId="0" applyFont="1" applyAlignment="1">
      <alignment horizontal="justify" wrapText="1"/>
    </xf>
    <xf numFmtId="0" fontId="35" fillId="0" borderId="0" xfId="0" applyFont="1" applyAlignment="1">
      <alignment horizontal="justify" wrapText="1"/>
    </xf>
    <xf numFmtId="43" fontId="18" fillId="0" borderId="0" xfId="8" applyFont="1" applyFill="1" applyBorder="1" applyAlignment="1"/>
    <xf numFmtId="178" fontId="36" fillId="10" borderId="12" xfId="3" applyNumberFormat="1" applyFont="1" applyFill="1" applyBorder="1"/>
    <xf numFmtId="4" fontId="13" fillId="0" borderId="0" xfId="0" applyNumberFormat="1" applyFont="1" applyAlignment="1">
      <alignment horizontal="justify" wrapText="1"/>
    </xf>
    <xf numFmtId="4" fontId="35" fillId="0" borderId="0" xfId="0" applyNumberFormat="1" applyFont="1" applyAlignment="1">
      <alignment horizontal="justify" wrapText="1"/>
    </xf>
    <xf numFmtId="178" fontId="36" fillId="9" borderId="12" xfId="3" applyNumberFormat="1" applyFont="1" applyFill="1" applyBorder="1"/>
    <xf numFmtId="0" fontId="18" fillId="7" borderId="7" xfId="1" applyFont="1" applyFill="1" applyBorder="1" applyAlignment="1">
      <alignment horizontal="left"/>
    </xf>
    <xf numFmtId="0" fontId="18" fillId="7" borderId="20" xfId="1" applyFont="1" applyFill="1" applyBorder="1" applyAlignment="1">
      <alignment horizontal="left"/>
    </xf>
    <xf numFmtId="0" fontId="40" fillId="0" borderId="0" xfId="1" applyFont="1" applyFill="1" applyBorder="1"/>
    <xf numFmtId="178" fontId="36" fillId="0" borderId="12" xfId="3" applyNumberFormat="1" applyFont="1" applyFill="1" applyBorder="1"/>
    <xf numFmtId="0" fontId="41" fillId="0" borderId="0" xfId="10"/>
    <xf numFmtId="180" fontId="0" fillId="0" borderId="0" xfId="11" applyNumberFormat="1" applyFont="1" applyAlignment="1"/>
    <xf numFmtId="180" fontId="41" fillId="7" borderId="25" xfId="10" applyNumberFormat="1" applyFill="1" applyBorder="1"/>
    <xf numFmtId="180" fontId="0" fillId="0" borderId="0" xfId="11" applyNumberFormat="1" applyFont="1" applyFill="1" applyAlignment="1"/>
    <xf numFmtId="0" fontId="18" fillId="3" borderId="7" xfId="1" applyFont="1" applyFill="1" applyBorder="1" applyAlignment="1">
      <alignment horizontal="left"/>
    </xf>
    <xf numFmtId="0" fontId="18" fillId="3" borderId="8" xfId="1" applyFont="1" applyFill="1" applyBorder="1" applyAlignment="1">
      <alignment horizontal="left"/>
    </xf>
    <xf numFmtId="0" fontId="18" fillId="3" borderId="9" xfId="1" applyFont="1" applyFill="1" applyBorder="1" applyAlignment="1">
      <alignment horizontal="left"/>
    </xf>
    <xf numFmtId="0" fontId="14" fillId="3" borderId="7" xfId="1" applyFont="1" applyFill="1" applyBorder="1" applyAlignment="1">
      <alignment horizontal="left"/>
    </xf>
    <xf numFmtId="0" fontId="14" fillId="3" borderId="8" xfId="1" applyFont="1" applyFill="1" applyBorder="1" applyAlignment="1">
      <alignment horizontal="left"/>
    </xf>
    <xf numFmtId="0" fontId="14" fillId="3" borderId="9" xfId="1" applyFont="1" applyFill="1" applyBorder="1" applyAlignment="1">
      <alignment horizontal="left"/>
    </xf>
    <xf numFmtId="0" fontId="8" fillId="3" borderId="7" xfId="1" applyFont="1" applyFill="1" applyBorder="1" applyAlignment="1">
      <alignment horizontal="left"/>
    </xf>
    <xf numFmtId="0" fontId="8" fillId="3" borderId="8" xfId="1" applyFont="1" applyFill="1" applyBorder="1" applyAlignment="1">
      <alignment horizontal="left"/>
    </xf>
    <xf numFmtId="0" fontId="8" fillId="3" borderId="9" xfId="1" applyFont="1" applyFill="1" applyBorder="1" applyAlignment="1">
      <alignment horizontal="left"/>
    </xf>
    <xf numFmtId="0" fontId="8" fillId="2" borderId="7" xfId="1" applyFont="1" applyFill="1" applyBorder="1" applyAlignment="1">
      <alignment horizontal="left"/>
    </xf>
  </cellXfs>
  <cellStyles count="12">
    <cellStyle name="Normal_Worksheet in   現金流量表-三晃-91Q2?" xfId="9"/>
    <cellStyle name="一般" xfId="0" builtinId="0"/>
    <cellStyle name="一般 2" xfId="1"/>
    <cellStyle name="一般 3" xfId="10"/>
    <cellStyle name="千分位" xfId="8" builtinId="3"/>
    <cellStyle name="千分位 2" xfId="4"/>
    <cellStyle name="千分位 3" xfId="11"/>
    <cellStyle name="千分位[0] 2" xfId="3"/>
    <cellStyle name="未定義" xfId="6"/>
    <cellStyle name="百分比" xfId="7" builtinId="5"/>
    <cellStyle name="百分比 2" xfId="2"/>
    <cellStyle name="超連結" xfId="5" builtinId="8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CC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24</xdr:row>
      <xdr:rowOff>57150</xdr:rowOff>
    </xdr:from>
    <xdr:to>
      <xdr:col>9</xdr:col>
      <xdr:colOff>76200</xdr:colOff>
      <xdr:row>25</xdr:row>
      <xdr:rowOff>11641</xdr:rowOff>
    </xdr:to>
    <xdr:sp macro="" textlink="">
      <xdr:nvSpPr>
        <xdr:cNvPr id="2" name="TM4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 noChangeShapeType="1" noTextEdit="1"/>
        </xdr:cNvSpPr>
      </xdr:nvSpPr>
      <xdr:spPr bwMode="auto">
        <a:xfrm rot="10800000">
          <a:off x="10972800" y="4400550"/>
          <a:ext cx="76200" cy="130175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  <a:headEnd/>
                <a:tailEnd/>
              </a:ln>
              <a:solidFill>
                <a:srgbClr val="FF0000"/>
              </a:solidFill>
              <a:effectLst/>
              <a:latin typeface="標楷體"/>
              <a:ea typeface="標楷體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  <a:headEnd/>
              <a:tailEnd/>
            </a:ln>
            <a:solidFill>
              <a:srgbClr val="FF0000"/>
            </a:solidFill>
            <a:effectLst/>
            <a:latin typeface="標楷體"/>
            <a:ea typeface="標楷體"/>
          </a:endParaRPr>
        </a:p>
      </xdr:txBody>
    </xdr:sp>
    <xdr:clientData/>
  </xdr:twoCellAnchor>
  <xdr:twoCellAnchor editAs="oneCell">
    <xdr:from>
      <xdr:col>9</xdr:col>
      <xdr:colOff>0</xdr:colOff>
      <xdr:row>25</xdr:row>
      <xdr:rowOff>57150</xdr:rowOff>
    </xdr:from>
    <xdr:to>
      <xdr:col>9</xdr:col>
      <xdr:colOff>76200</xdr:colOff>
      <xdr:row>26</xdr:row>
      <xdr:rowOff>11643</xdr:rowOff>
    </xdr:to>
    <xdr:sp macro="" textlink="">
      <xdr:nvSpPr>
        <xdr:cNvPr id="3" name="TM40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 noChangeShapeType="1" noTextEdit="1"/>
        </xdr:cNvSpPr>
      </xdr:nvSpPr>
      <xdr:spPr bwMode="auto">
        <a:xfrm rot="10800000">
          <a:off x="10972800" y="4581525"/>
          <a:ext cx="76200" cy="130175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  <a:headEnd/>
                <a:tailEnd/>
              </a:ln>
              <a:solidFill>
                <a:srgbClr val="FF0000"/>
              </a:solidFill>
              <a:effectLst/>
              <a:latin typeface="標楷體"/>
              <a:ea typeface="標楷體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  <a:headEnd/>
              <a:tailEnd/>
            </a:ln>
            <a:solidFill>
              <a:srgbClr val="FF0000"/>
            </a:solidFill>
            <a:effectLst/>
            <a:latin typeface="標楷體"/>
            <a:ea typeface="標楷體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24</xdr:row>
      <xdr:rowOff>57150</xdr:rowOff>
    </xdr:from>
    <xdr:to>
      <xdr:col>9</xdr:col>
      <xdr:colOff>76200</xdr:colOff>
      <xdr:row>25</xdr:row>
      <xdr:rowOff>13275</xdr:rowOff>
    </xdr:to>
    <xdr:sp macro="" textlink="">
      <xdr:nvSpPr>
        <xdr:cNvPr id="2" name="TM407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 noChangeShapeType="1" noTextEdit="1"/>
        </xdr:cNvSpPr>
      </xdr:nvSpPr>
      <xdr:spPr bwMode="auto">
        <a:xfrm rot="10800000">
          <a:off x="11239500" y="4019550"/>
          <a:ext cx="76200" cy="114875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  <a:headEnd/>
                <a:tailEnd/>
              </a:ln>
              <a:solidFill>
                <a:srgbClr val="FF0000"/>
              </a:solidFill>
              <a:effectLst/>
              <a:latin typeface="標楷體"/>
              <a:ea typeface="標楷體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  <a:headEnd/>
              <a:tailEnd/>
            </a:ln>
            <a:solidFill>
              <a:srgbClr val="FF0000"/>
            </a:solidFill>
            <a:effectLst/>
            <a:latin typeface="標楷體"/>
            <a:ea typeface="標楷體"/>
          </a:endParaRPr>
        </a:p>
      </xdr:txBody>
    </xdr:sp>
    <xdr:clientData/>
  </xdr:twoCellAnchor>
  <xdr:twoCellAnchor editAs="oneCell">
    <xdr:from>
      <xdr:col>9</xdr:col>
      <xdr:colOff>0</xdr:colOff>
      <xdr:row>25</xdr:row>
      <xdr:rowOff>57150</xdr:rowOff>
    </xdr:from>
    <xdr:to>
      <xdr:col>9</xdr:col>
      <xdr:colOff>76200</xdr:colOff>
      <xdr:row>26</xdr:row>
      <xdr:rowOff>13278</xdr:rowOff>
    </xdr:to>
    <xdr:sp macro="" textlink="">
      <xdr:nvSpPr>
        <xdr:cNvPr id="3" name="TM407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 noChangeShapeType="1" noTextEdit="1"/>
        </xdr:cNvSpPr>
      </xdr:nvSpPr>
      <xdr:spPr bwMode="auto">
        <a:xfrm rot="10800000">
          <a:off x="11239500" y="4184650"/>
          <a:ext cx="76200" cy="114878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  <a:headEnd/>
                <a:tailEnd/>
              </a:ln>
              <a:solidFill>
                <a:srgbClr val="FF0000"/>
              </a:solidFill>
              <a:effectLst/>
              <a:latin typeface="標楷體"/>
              <a:ea typeface="標楷體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  <a:headEnd/>
              <a:tailEnd/>
            </a:ln>
            <a:solidFill>
              <a:srgbClr val="FF0000"/>
            </a:solidFill>
            <a:effectLst/>
            <a:latin typeface="標楷體"/>
            <a:ea typeface="標楷體"/>
          </a:endParaRPr>
        </a:p>
      </xdr:txBody>
    </xdr:sp>
    <xdr:clientData/>
  </xdr:twoCellAnchor>
  <xdr:twoCellAnchor editAs="oneCell">
    <xdr:from>
      <xdr:col>9</xdr:col>
      <xdr:colOff>0</xdr:colOff>
      <xdr:row>24</xdr:row>
      <xdr:rowOff>57150</xdr:rowOff>
    </xdr:from>
    <xdr:to>
      <xdr:col>9</xdr:col>
      <xdr:colOff>76200</xdr:colOff>
      <xdr:row>25</xdr:row>
      <xdr:rowOff>13275</xdr:rowOff>
    </xdr:to>
    <xdr:sp macro="" textlink="">
      <xdr:nvSpPr>
        <xdr:cNvPr id="4" name="TM407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 noChangeShapeType="1" noTextEdit="1"/>
        </xdr:cNvSpPr>
      </xdr:nvSpPr>
      <xdr:spPr>
        <a:xfrm rot="10800000">
          <a:off x="11239500" y="4019550"/>
          <a:ext cx="76200" cy="114875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</a:ln>
              <a:solidFill>
                <a:srgbClr val="FF0000"/>
              </a:solidFill>
              <a:effectLst/>
              <a:latin typeface="標楷體" panose="03000509000000000000" charset="-120"/>
              <a:ea typeface="標楷體" panose="03000509000000000000" charset="-120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</a:ln>
            <a:solidFill>
              <a:srgbClr val="FF0000"/>
            </a:solidFill>
            <a:effectLst/>
            <a:latin typeface="標楷體" panose="03000509000000000000" charset="-120"/>
            <a:ea typeface="標楷體" panose="03000509000000000000" charset="-120"/>
          </a:endParaRPr>
        </a:p>
      </xdr:txBody>
    </xdr:sp>
    <xdr:clientData/>
  </xdr:twoCellAnchor>
  <xdr:twoCellAnchor editAs="oneCell">
    <xdr:from>
      <xdr:col>9</xdr:col>
      <xdr:colOff>0</xdr:colOff>
      <xdr:row>25</xdr:row>
      <xdr:rowOff>57150</xdr:rowOff>
    </xdr:from>
    <xdr:to>
      <xdr:col>9</xdr:col>
      <xdr:colOff>76200</xdr:colOff>
      <xdr:row>26</xdr:row>
      <xdr:rowOff>13278</xdr:rowOff>
    </xdr:to>
    <xdr:sp macro="" textlink="">
      <xdr:nvSpPr>
        <xdr:cNvPr id="5" name="TM407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 noChangeShapeType="1" noTextEdit="1"/>
        </xdr:cNvSpPr>
      </xdr:nvSpPr>
      <xdr:spPr>
        <a:xfrm rot="10800000">
          <a:off x="11239500" y="4184650"/>
          <a:ext cx="76200" cy="114878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</a:ln>
              <a:solidFill>
                <a:srgbClr val="FF0000"/>
              </a:solidFill>
              <a:effectLst/>
              <a:latin typeface="標楷體" panose="03000509000000000000" charset="-120"/>
              <a:ea typeface="標楷體" panose="03000509000000000000" charset="-120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</a:ln>
            <a:solidFill>
              <a:srgbClr val="FF0000"/>
            </a:solidFill>
            <a:effectLst/>
            <a:latin typeface="標楷體" panose="03000509000000000000" charset="-120"/>
            <a:ea typeface="標楷體" panose="03000509000000000000" charset="-12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24</xdr:row>
      <xdr:rowOff>57150</xdr:rowOff>
    </xdr:from>
    <xdr:to>
      <xdr:col>9</xdr:col>
      <xdr:colOff>76200</xdr:colOff>
      <xdr:row>25</xdr:row>
      <xdr:rowOff>13275</xdr:rowOff>
    </xdr:to>
    <xdr:sp macro="" textlink="">
      <xdr:nvSpPr>
        <xdr:cNvPr id="2" name="TM407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rrowheads="1" noChangeShapeType="1" noTextEdit="1"/>
        </xdr:cNvSpPr>
      </xdr:nvSpPr>
      <xdr:spPr bwMode="auto">
        <a:xfrm rot="10800000">
          <a:off x="11239500" y="4019550"/>
          <a:ext cx="76200" cy="121225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  <a:headEnd/>
                <a:tailEnd/>
              </a:ln>
              <a:solidFill>
                <a:srgbClr val="FF0000"/>
              </a:solidFill>
              <a:effectLst/>
              <a:latin typeface="標楷體"/>
              <a:ea typeface="標楷體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  <a:headEnd/>
              <a:tailEnd/>
            </a:ln>
            <a:solidFill>
              <a:srgbClr val="FF0000"/>
            </a:solidFill>
            <a:effectLst/>
            <a:latin typeface="標楷體"/>
            <a:ea typeface="標楷體"/>
          </a:endParaRPr>
        </a:p>
      </xdr:txBody>
    </xdr:sp>
    <xdr:clientData/>
  </xdr:twoCellAnchor>
  <xdr:twoCellAnchor editAs="oneCell">
    <xdr:from>
      <xdr:col>9</xdr:col>
      <xdr:colOff>0</xdr:colOff>
      <xdr:row>25</xdr:row>
      <xdr:rowOff>57150</xdr:rowOff>
    </xdr:from>
    <xdr:to>
      <xdr:col>9</xdr:col>
      <xdr:colOff>76200</xdr:colOff>
      <xdr:row>26</xdr:row>
      <xdr:rowOff>13278</xdr:rowOff>
    </xdr:to>
    <xdr:sp macro="" textlink="">
      <xdr:nvSpPr>
        <xdr:cNvPr id="3" name="TM407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 noChangeShapeType="1" noTextEdit="1"/>
        </xdr:cNvSpPr>
      </xdr:nvSpPr>
      <xdr:spPr bwMode="auto">
        <a:xfrm rot="10800000">
          <a:off x="11239500" y="4184650"/>
          <a:ext cx="76200" cy="121228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  <a:headEnd/>
                <a:tailEnd/>
              </a:ln>
              <a:solidFill>
                <a:srgbClr val="FF0000"/>
              </a:solidFill>
              <a:effectLst/>
              <a:latin typeface="標楷體"/>
              <a:ea typeface="標楷體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  <a:headEnd/>
              <a:tailEnd/>
            </a:ln>
            <a:solidFill>
              <a:srgbClr val="FF0000"/>
            </a:solidFill>
            <a:effectLst/>
            <a:latin typeface="標楷體"/>
            <a:ea typeface="標楷體"/>
          </a:endParaRPr>
        </a:p>
      </xdr:txBody>
    </xdr:sp>
    <xdr:clientData/>
  </xdr:twoCellAnchor>
  <xdr:twoCellAnchor editAs="oneCell">
    <xdr:from>
      <xdr:col>9</xdr:col>
      <xdr:colOff>0</xdr:colOff>
      <xdr:row>24</xdr:row>
      <xdr:rowOff>57150</xdr:rowOff>
    </xdr:from>
    <xdr:to>
      <xdr:col>9</xdr:col>
      <xdr:colOff>76200</xdr:colOff>
      <xdr:row>25</xdr:row>
      <xdr:rowOff>13275</xdr:rowOff>
    </xdr:to>
    <xdr:sp macro="" textlink="">
      <xdr:nvSpPr>
        <xdr:cNvPr id="4" name="TM407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 noChangeShapeType="1" noTextEdit="1"/>
        </xdr:cNvSpPr>
      </xdr:nvSpPr>
      <xdr:spPr>
        <a:xfrm rot="10800000">
          <a:off x="11239500" y="4019550"/>
          <a:ext cx="76200" cy="121225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</a:ln>
              <a:solidFill>
                <a:srgbClr val="FF0000"/>
              </a:solidFill>
              <a:effectLst/>
              <a:latin typeface="標楷體" panose="03000509000000000000" charset="-120"/>
              <a:ea typeface="標楷體" panose="03000509000000000000" charset="-120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</a:ln>
            <a:solidFill>
              <a:srgbClr val="FF0000"/>
            </a:solidFill>
            <a:effectLst/>
            <a:latin typeface="標楷體" panose="03000509000000000000" charset="-120"/>
            <a:ea typeface="標楷體" panose="03000509000000000000" charset="-120"/>
          </a:endParaRPr>
        </a:p>
      </xdr:txBody>
    </xdr:sp>
    <xdr:clientData/>
  </xdr:twoCellAnchor>
  <xdr:twoCellAnchor editAs="oneCell">
    <xdr:from>
      <xdr:col>9</xdr:col>
      <xdr:colOff>0</xdr:colOff>
      <xdr:row>25</xdr:row>
      <xdr:rowOff>57150</xdr:rowOff>
    </xdr:from>
    <xdr:to>
      <xdr:col>9</xdr:col>
      <xdr:colOff>76200</xdr:colOff>
      <xdr:row>26</xdr:row>
      <xdr:rowOff>13278</xdr:rowOff>
    </xdr:to>
    <xdr:sp macro="" textlink="">
      <xdr:nvSpPr>
        <xdr:cNvPr id="5" name="TM407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 noChangeShapeType="1" noTextEdit="1"/>
        </xdr:cNvSpPr>
      </xdr:nvSpPr>
      <xdr:spPr>
        <a:xfrm rot="10800000">
          <a:off x="11239500" y="4184650"/>
          <a:ext cx="76200" cy="121228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</a:ln>
              <a:solidFill>
                <a:srgbClr val="FF0000"/>
              </a:solidFill>
              <a:effectLst/>
              <a:latin typeface="標楷體" panose="03000509000000000000" charset="-120"/>
              <a:ea typeface="標楷體" panose="03000509000000000000" charset="-120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</a:ln>
            <a:solidFill>
              <a:srgbClr val="FF0000"/>
            </a:solidFill>
            <a:effectLst/>
            <a:latin typeface="標楷體" panose="03000509000000000000" charset="-120"/>
            <a:ea typeface="標楷體" panose="03000509000000000000" charset="-12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24</xdr:row>
      <xdr:rowOff>57150</xdr:rowOff>
    </xdr:from>
    <xdr:to>
      <xdr:col>9</xdr:col>
      <xdr:colOff>76200</xdr:colOff>
      <xdr:row>25</xdr:row>
      <xdr:rowOff>13275</xdr:rowOff>
    </xdr:to>
    <xdr:sp macro="" textlink="">
      <xdr:nvSpPr>
        <xdr:cNvPr id="2" name="TM407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rrowheads="1" noChangeShapeType="1" noTextEdit="1"/>
        </xdr:cNvSpPr>
      </xdr:nvSpPr>
      <xdr:spPr bwMode="auto">
        <a:xfrm rot="10800000">
          <a:off x="12509500" y="4019550"/>
          <a:ext cx="76200" cy="121225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  <a:headEnd/>
                <a:tailEnd/>
              </a:ln>
              <a:solidFill>
                <a:srgbClr val="FF0000"/>
              </a:solidFill>
              <a:effectLst/>
              <a:latin typeface="標楷體"/>
              <a:ea typeface="標楷體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  <a:headEnd/>
              <a:tailEnd/>
            </a:ln>
            <a:solidFill>
              <a:srgbClr val="FF0000"/>
            </a:solidFill>
            <a:effectLst/>
            <a:latin typeface="標楷體"/>
            <a:ea typeface="標楷體"/>
          </a:endParaRPr>
        </a:p>
      </xdr:txBody>
    </xdr:sp>
    <xdr:clientData/>
  </xdr:twoCellAnchor>
  <xdr:twoCellAnchor editAs="oneCell">
    <xdr:from>
      <xdr:col>9</xdr:col>
      <xdr:colOff>0</xdr:colOff>
      <xdr:row>25</xdr:row>
      <xdr:rowOff>57150</xdr:rowOff>
    </xdr:from>
    <xdr:to>
      <xdr:col>9</xdr:col>
      <xdr:colOff>76200</xdr:colOff>
      <xdr:row>26</xdr:row>
      <xdr:rowOff>13278</xdr:rowOff>
    </xdr:to>
    <xdr:sp macro="" textlink="">
      <xdr:nvSpPr>
        <xdr:cNvPr id="3" name="TM407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rrowheads="1" noChangeShapeType="1" noTextEdit="1"/>
        </xdr:cNvSpPr>
      </xdr:nvSpPr>
      <xdr:spPr bwMode="auto">
        <a:xfrm rot="10800000">
          <a:off x="12509500" y="4184650"/>
          <a:ext cx="76200" cy="121228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  <a:headEnd/>
                <a:tailEnd/>
              </a:ln>
              <a:solidFill>
                <a:srgbClr val="FF0000"/>
              </a:solidFill>
              <a:effectLst/>
              <a:latin typeface="標楷體"/>
              <a:ea typeface="標楷體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  <a:headEnd/>
              <a:tailEnd/>
            </a:ln>
            <a:solidFill>
              <a:srgbClr val="FF0000"/>
            </a:solidFill>
            <a:effectLst/>
            <a:latin typeface="標楷體"/>
            <a:ea typeface="標楷體"/>
          </a:endParaRPr>
        </a:p>
      </xdr:txBody>
    </xdr:sp>
    <xdr:clientData/>
  </xdr:twoCellAnchor>
  <xdr:twoCellAnchor editAs="oneCell">
    <xdr:from>
      <xdr:col>9</xdr:col>
      <xdr:colOff>0</xdr:colOff>
      <xdr:row>24</xdr:row>
      <xdr:rowOff>57150</xdr:rowOff>
    </xdr:from>
    <xdr:to>
      <xdr:col>9</xdr:col>
      <xdr:colOff>76200</xdr:colOff>
      <xdr:row>25</xdr:row>
      <xdr:rowOff>13275</xdr:rowOff>
    </xdr:to>
    <xdr:sp macro="" textlink="">
      <xdr:nvSpPr>
        <xdr:cNvPr id="4" name="TM407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Arrowheads="1" noChangeShapeType="1" noTextEdit="1"/>
        </xdr:cNvSpPr>
      </xdr:nvSpPr>
      <xdr:spPr>
        <a:xfrm rot="10800000">
          <a:off x="12509500" y="4019550"/>
          <a:ext cx="76200" cy="121225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</a:ln>
              <a:solidFill>
                <a:srgbClr val="FF0000"/>
              </a:solidFill>
              <a:effectLst/>
              <a:latin typeface="標楷體" panose="03000509000000000000" charset="-120"/>
              <a:ea typeface="標楷體" panose="03000509000000000000" charset="-120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</a:ln>
            <a:solidFill>
              <a:srgbClr val="FF0000"/>
            </a:solidFill>
            <a:effectLst/>
            <a:latin typeface="標楷體" panose="03000509000000000000" charset="-120"/>
            <a:ea typeface="標楷體" panose="03000509000000000000" charset="-120"/>
          </a:endParaRPr>
        </a:p>
      </xdr:txBody>
    </xdr:sp>
    <xdr:clientData/>
  </xdr:twoCellAnchor>
  <xdr:twoCellAnchor editAs="oneCell">
    <xdr:from>
      <xdr:col>9</xdr:col>
      <xdr:colOff>0</xdr:colOff>
      <xdr:row>25</xdr:row>
      <xdr:rowOff>57150</xdr:rowOff>
    </xdr:from>
    <xdr:to>
      <xdr:col>9</xdr:col>
      <xdr:colOff>76200</xdr:colOff>
      <xdr:row>26</xdr:row>
      <xdr:rowOff>13278</xdr:rowOff>
    </xdr:to>
    <xdr:sp macro="" textlink="">
      <xdr:nvSpPr>
        <xdr:cNvPr id="5" name="TM407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Arrowheads="1" noChangeShapeType="1" noTextEdit="1"/>
        </xdr:cNvSpPr>
      </xdr:nvSpPr>
      <xdr:spPr>
        <a:xfrm rot="10800000">
          <a:off x="12509500" y="4184650"/>
          <a:ext cx="76200" cy="121228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</a:ln>
              <a:solidFill>
                <a:srgbClr val="FF0000"/>
              </a:solidFill>
              <a:effectLst/>
              <a:latin typeface="標楷體" panose="03000509000000000000" charset="-120"/>
              <a:ea typeface="標楷體" panose="03000509000000000000" charset="-120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</a:ln>
            <a:solidFill>
              <a:srgbClr val="FF0000"/>
            </a:solidFill>
            <a:effectLst/>
            <a:latin typeface="標楷體" panose="03000509000000000000" charset="-120"/>
            <a:ea typeface="標楷體" panose="03000509000000000000" charset="-12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24</xdr:row>
      <xdr:rowOff>57150</xdr:rowOff>
    </xdr:from>
    <xdr:to>
      <xdr:col>9</xdr:col>
      <xdr:colOff>76200</xdr:colOff>
      <xdr:row>25</xdr:row>
      <xdr:rowOff>13275</xdr:rowOff>
    </xdr:to>
    <xdr:sp macro="" textlink="">
      <xdr:nvSpPr>
        <xdr:cNvPr id="2" name="TM407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Arrowheads="1" noChangeShapeType="1" noTextEdit="1"/>
        </xdr:cNvSpPr>
      </xdr:nvSpPr>
      <xdr:spPr bwMode="auto">
        <a:xfrm rot="10800000">
          <a:off x="12319000" y="4019550"/>
          <a:ext cx="76200" cy="121225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  <a:headEnd/>
                <a:tailEnd/>
              </a:ln>
              <a:solidFill>
                <a:srgbClr val="FF0000"/>
              </a:solidFill>
              <a:effectLst/>
              <a:latin typeface="標楷體"/>
              <a:ea typeface="標楷體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  <a:headEnd/>
              <a:tailEnd/>
            </a:ln>
            <a:solidFill>
              <a:srgbClr val="FF0000"/>
            </a:solidFill>
            <a:effectLst/>
            <a:latin typeface="標楷體"/>
            <a:ea typeface="標楷體"/>
          </a:endParaRPr>
        </a:p>
      </xdr:txBody>
    </xdr:sp>
    <xdr:clientData/>
  </xdr:twoCellAnchor>
  <xdr:twoCellAnchor editAs="oneCell">
    <xdr:from>
      <xdr:col>9</xdr:col>
      <xdr:colOff>0</xdr:colOff>
      <xdr:row>25</xdr:row>
      <xdr:rowOff>57150</xdr:rowOff>
    </xdr:from>
    <xdr:to>
      <xdr:col>9</xdr:col>
      <xdr:colOff>76200</xdr:colOff>
      <xdr:row>26</xdr:row>
      <xdr:rowOff>13278</xdr:rowOff>
    </xdr:to>
    <xdr:sp macro="" textlink="">
      <xdr:nvSpPr>
        <xdr:cNvPr id="3" name="TM407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>
          <a:spLocks noChangeArrowheads="1" noChangeShapeType="1" noTextEdit="1"/>
        </xdr:cNvSpPr>
      </xdr:nvSpPr>
      <xdr:spPr bwMode="auto">
        <a:xfrm rot="10800000">
          <a:off x="12319000" y="4184650"/>
          <a:ext cx="76200" cy="121228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  <a:headEnd/>
                <a:tailEnd/>
              </a:ln>
              <a:solidFill>
                <a:srgbClr val="FF0000"/>
              </a:solidFill>
              <a:effectLst/>
              <a:latin typeface="標楷體"/>
              <a:ea typeface="標楷體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  <a:headEnd/>
              <a:tailEnd/>
            </a:ln>
            <a:solidFill>
              <a:srgbClr val="FF0000"/>
            </a:solidFill>
            <a:effectLst/>
            <a:latin typeface="標楷體"/>
            <a:ea typeface="標楷體"/>
          </a:endParaRPr>
        </a:p>
      </xdr:txBody>
    </xdr:sp>
    <xdr:clientData/>
  </xdr:twoCellAnchor>
  <xdr:twoCellAnchor editAs="oneCell">
    <xdr:from>
      <xdr:col>9</xdr:col>
      <xdr:colOff>0</xdr:colOff>
      <xdr:row>24</xdr:row>
      <xdr:rowOff>57150</xdr:rowOff>
    </xdr:from>
    <xdr:to>
      <xdr:col>9</xdr:col>
      <xdr:colOff>76200</xdr:colOff>
      <xdr:row>25</xdr:row>
      <xdr:rowOff>13275</xdr:rowOff>
    </xdr:to>
    <xdr:sp macro="" textlink="">
      <xdr:nvSpPr>
        <xdr:cNvPr id="4" name="TM407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>
          <a:spLocks noChangeArrowheads="1" noChangeShapeType="1" noTextEdit="1"/>
        </xdr:cNvSpPr>
      </xdr:nvSpPr>
      <xdr:spPr>
        <a:xfrm rot="10800000">
          <a:off x="12319000" y="4019550"/>
          <a:ext cx="76200" cy="121225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</a:ln>
              <a:solidFill>
                <a:srgbClr val="FF0000"/>
              </a:solidFill>
              <a:effectLst/>
              <a:latin typeface="標楷體" panose="03000509000000000000" charset="-120"/>
              <a:ea typeface="標楷體" panose="03000509000000000000" charset="-120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</a:ln>
            <a:solidFill>
              <a:srgbClr val="FF0000"/>
            </a:solidFill>
            <a:effectLst/>
            <a:latin typeface="標楷體" panose="03000509000000000000" charset="-120"/>
            <a:ea typeface="標楷體" panose="03000509000000000000" charset="-120"/>
          </a:endParaRPr>
        </a:p>
      </xdr:txBody>
    </xdr:sp>
    <xdr:clientData/>
  </xdr:twoCellAnchor>
  <xdr:twoCellAnchor editAs="oneCell">
    <xdr:from>
      <xdr:col>9</xdr:col>
      <xdr:colOff>0</xdr:colOff>
      <xdr:row>25</xdr:row>
      <xdr:rowOff>57150</xdr:rowOff>
    </xdr:from>
    <xdr:to>
      <xdr:col>9</xdr:col>
      <xdr:colOff>76200</xdr:colOff>
      <xdr:row>26</xdr:row>
      <xdr:rowOff>13278</xdr:rowOff>
    </xdr:to>
    <xdr:sp macro="" textlink="">
      <xdr:nvSpPr>
        <xdr:cNvPr id="5" name="TM407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>
          <a:spLocks noChangeArrowheads="1" noChangeShapeType="1" noTextEdit="1"/>
        </xdr:cNvSpPr>
      </xdr:nvSpPr>
      <xdr:spPr>
        <a:xfrm rot="10800000">
          <a:off x="12319000" y="4184650"/>
          <a:ext cx="76200" cy="121228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</a:ln>
              <a:solidFill>
                <a:srgbClr val="FF0000"/>
              </a:solidFill>
              <a:effectLst/>
              <a:latin typeface="標楷體" panose="03000509000000000000" charset="-120"/>
              <a:ea typeface="標楷體" panose="03000509000000000000" charset="-120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</a:ln>
            <a:solidFill>
              <a:srgbClr val="FF0000"/>
            </a:solidFill>
            <a:effectLst/>
            <a:latin typeface="標楷體" panose="03000509000000000000" charset="-120"/>
            <a:ea typeface="標楷體" panose="03000509000000000000" charset="-12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24</xdr:row>
      <xdr:rowOff>57150</xdr:rowOff>
    </xdr:from>
    <xdr:to>
      <xdr:col>9</xdr:col>
      <xdr:colOff>76200</xdr:colOff>
      <xdr:row>25</xdr:row>
      <xdr:rowOff>6925</xdr:rowOff>
    </xdr:to>
    <xdr:sp macro="" textlink="">
      <xdr:nvSpPr>
        <xdr:cNvPr id="2" name="TM407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ChangeArrowheads="1" noChangeShapeType="1" noTextEdit="1"/>
        </xdr:cNvSpPr>
      </xdr:nvSpPr>
      <xdr:spPr bwMode="auto">
        <a:xfrm rot="10800000">
          <a:off x="10972800" y="4019550"/>
          <a:ext cx="76200" cy="108525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  <a:headEnd/>
                <a:tailEnd/>
              </a:ln>
              <a:solidFill>
                <a:srgbClr val="FF0000"/>
              </a:solidFill>
              <a:effectLst/>
              <a:latin typeface="標楷體"/>
              <a:ea typeface="標楷體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  <a:headEnd/>
              <a:tailEnd/>
            </a:ln>
            <a:solidFill>
              <a:srgbClr val="FF0000"/>
            </a:solidFill>
            <a:effectLst/>
            <a:latin typeface="標楷體"/>
            <a:ea typeface="標楷體"/>
          </a:endParaRPr>
        </a:p>
      </xdr:txBody>
    </xdr:sp>
    <xdr:clientData/>
  </xdr:twoCellAnchor>
  <xdr:twoCellAnchor editAs="oneCell">
    <xdr:from>
      <xdr:col>9</xdr:col>
      <xdr:colOff>0</xdr:colOff>
      <xdr:row>25</xdr:row>
      <xdr:rowOff>57150</xdr:rowOff>
    </xdr:from>
    <xdr:to>
      <xdr:col>9</xdr:col>
      <xdr:colOff>76200</xdr:colOff>
      <xdr:row>26</xdr:row>
      <xdr:rowOff>6928</xdr:rowOff>
    </xdr:to>
    <xdr:sp macro="" textlink="">
      <xdr:nvSpPr>
        <xdr:cNvPr id="3" name="TM407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>
          <a:spLocks noChangeArrowheads="1" noChangeShapeType="1" noTextEdit="1"/>
        </xdr:cNvSpPr>
      </xdr:nvSpPr>
      <xdr:spPr bwMode="auto">
        <a:xfrm rot="10800000">
          <a:off x="10972800" y="4184650"/>
          <a:ext cx="76200" cy="108528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  <a:headEnd/>
                <a:tailEnd/>
              </a:ln>
              <a:solidFill>
                <a:srgbClr val="FF0000"/>
              </a:solidFill>
              <a:effectLst/>
              <a:latin typeface="標楷體"/>
              <a:ea typeface="標楷體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  <a:headEnd/>
              <a:tailEnd/>
            </a:ln>
            <a:solidFill>
              <a:srgbClr val="FF0000"/>
            </a:solidFill>
            <a:effectLst/>
            <a:latin typeface="標楷體"/>
            <a:ea typeface="標楷體"/>
          </a:endParaRPr>
        </a:p>
      </xdr:txBody>
    </xdr:sp>
    <xdr:clientData/>
  </xdr:twoCellAnchor>
  <xdr:twoCellAnchor editAs="oneCell">
    <xdr:from>
      <xdr:col>9</xdr:col>
      <xdr:colOff>0</xdr:colOff>
      <xdr:row>24</xdr:row>
      <xdr:rowOff>57150</xdr:rowOff>
    </xdr:from>
    <xdr:to>
      <xdr:col>9</xdr:col>
      <xdr:colOff>76200</xdr:colOff>
      <xdr:row>25</xdr:row>
      <xdr:rowOff>6925</xdr:rowOff>
    </xdr:to>
    <xdr:sp macro="" textlink="">
      <xdr:nvSpPr>
        <xdr:cNvPr id="4" name="TM407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>
          <a:spLocks noChangeArrowheads="1" noChangeShapeType="1" noTextEdit="1"/>
        </xdr:cNvSpPr>
      </xdr:nvSpPr>
      <xdr:spPr>
        <a:xfrm rot="10800000">
          <a:off x="10972800" y="4019550"/>
          <a:ext cx="76200" cy="108525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</a:ln>
              <a:solidFill>
                <a:srgbClr val="FF0000"/>
              </a:solidFill>
              <a:effectLst/>
              <a:latin typeface="標楷體" panose="03000509000000000000" charset="-120"/>
              <a:ea typeface="標楷體" panose="03000509000000000000" charset="-120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</a:ln>
            <a:solidFill>
              <a:srgbClr val="FF0000"/>
            </a:solidFill>
            <a:effectLst/>
            <a:latin typeface="標楷體" panose="03000509000000000000" charset="-120"/>
            <a:ea typeface="標楷體" panose="03000509000000000000" charset="-120"/>
          </a:endParaRPr>
        </a:p>
      </xdr:txBody>
    </xdr:sp>
    <xdr:clientData/>
  </xdr:twoCellAnchor>
  <xdr:twoCellAnchor editAs="oneCell">
    <xdr:from>
      <xdr:col>9</xdr:col>
      <xdr:colOff>0</xdr:colOff>
      <xdr:row>25</xdr:row>
      <xdr:rowOff>57150</xdr:rowOff>
    </xdr:from>
    <xdr:to>
      <xdr:col>9</xdr:col>
      <xdr:colOff>76200</xdr:colOff>
      <xdr:row>26</xdr:row>
      <xdr:rowOff>6928</xdr:rowOff>
    </xdr:to>
    <xdr:sp macro="" textlink="">
      <xdr:nvSpPr>
        <xdr:cNvPr id="5" name="TM407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>
          <a:spLocks noChangeArrowheads="1" noChangeShapeType="1" noTextEdit="1"/>
        </xdr:cNvSpPr>
      </xdr:nvSpPr>
      <xdr:spPr>
        <a:xfrm rot="10800000">
          <a:off x="10972800" y="4184650"/>
          <a:ext cx="76200" cy="108528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</a:ln>
              <a:solidFill>
                <a:srgbClr val="FF0000"/>
              </a:solidFill>
              <a:effectLst/>
              <a:latin typeface="標楷體" panose="03000509000000000000" charset="-120"/>
              <a:ea typeface="標楷體" panose="03000509000000000000" charset="-120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</a:ln>
            <a:solidFill>
              <a:srgbClr val="FF0000"/>
            </a:solidFill>
            <a:effectLst/>
            <a:latin typeface="標楷體" panose="03000509000000000000" charset="-120"/>
            <a:ea typeface="標楷體" panose="03000509000000000000" charset="-12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24</xdr:row>
      <xdr:rowOff>57150</xdr:rowOff>
    </xdr:from>
    <xdr:to>
      <xdr:col>9</xdr:col>
      <xdr:colOff>76200</xdr:colOff>
      <xdr:row>25</xdr:row>
      <xdr:rowOff>13275</xdr:rowOff>
    </xdr:to>
    <xdr:sp macro="" textlink="">
      <xdr:nvSpPr>
        <xdr:cNvPr id="2" name="TM407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Arrowheads="1" noChangeShapeType="1" noTextEdit="1"/>
        </xdr:cNvSpPr>
      </xdr:nvSpPr>
      <xdr:spPr bwMode="auto">
        <a:xfrm rot="10800000">
          <a:off x="10934700" y="4019550"/>
          <a:ext cx="76200" cy="114875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  <a:headEnd/>
                <a:tailEnd/>
              </a:ln>
              <a:solidFill>
                <a:srgbClr val="FF0000"/>
              </a:solidFill>
              <a:effectLst/>
              <a:latin typeface="標楷體"/>
              <a:ea typeface="標楷體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  <a:headEnd/>
              <a:tailEnd/>
            </a:ln>
            <a:solidFill>
              <a:srgbClr val="FF0000"/>
            </a:solidFill>
            <a:effectLst/>
            <a:latin typeface="標楷體"/>
            <a:ea typeface="標楷體"/>
          </a:endParaRPr>
        </a:p>
      </xdr:txBody>
    </xdr:sp>
    <xdr:clientData/>
  </xdr:twoCellAnchor>
  <xdr:twoCellAnchor editAs="oneCell">
    <xdr:from>
      <xdr:col>9</xdr:col>
      <xdr:colOff>0</xdr:colOff>
      <xdr:row>25</xdr:row>
      <xdr:rowOff>57150</xdr:rowOff>
    </xdr:from>
    <xdr:to>
      <xdr:col>9</xdr:col>
      <xdr:colOff>76200</xdr:colOff>
      <xdr:row>26</xdr:row>
      <xdr:rowOff>13278</xdr:rowOff>
    </xdr:to>
    <xdr:sp macro="" textlink="">
      <xdr:nvSpPr>
        <xdr:cNvPr id="3" name="TM407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>
          <a:spLocks noChangeArrowheads="1" noChangeShapeType="1" noTextEdit="1"/>
        </xdr:cNvSpPr>
      </xdr:nvSpPr>
      <xdr:spPr bwMode="auto">
        <a:xfrm rot="10800000">
          <a:off x="10934700" y="4184650"/>
          <a:ext cx="76200" cy="114878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  <a:headEnd/>
                <a:tailEnd/>
              </a:ln>
              <a:solidFill>
                <a:srgbClr val="FF0000"/>
              </a:solidFill>
              <a:effectLst/>
              <a:latin typeface="標楷體"/>
              <a:ea typeface="標楷體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  <a:headEnd/>
              <a:tailEnd/>
            </a:ln>
            <a:solidFill>
              <a:srgbClr val="FF0000"/>
            </a:solidFill>
            <a:effectLst/>
            <a:latin typeface="標楷體"/>
            <a:ea typeface="標楷體"/>
          </a:endParaRPr>
        </a:p>
      </xdr:txBody>
    </xdr:sp>
    <xdr:clientData/>
  </xdr:twoCellAnchor>
  <xdr:twoCellAnchor editAs="oneCell">
    <xdr:from>
      <xdr:col>9</xdr:col>
      <xdr:colOff>0</xdr:colOff>
      <xdr:row>24</xdr:row>
      <xdr:rowOff>57150</xdr:rowOff>
    </xdr:from>
    <xdr:to>
      <xdr:col>9</xdr:col>
      <xdr:colOff>76200</xdr:colOff>
      <xdr:row>25</xdr:row>
      <xdr:rowOff>13275</xdr:rowOff>
    </xdr:to>
    <xdr:sp macro="" textlink="">
      <xdr:nvSpPr>
        <xdr:cNvPr id="4" name="TM407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>
          <a:spLocks noChangeArrowheads="1" noChangeShapeType="1" noTextEdit="1"/>
        </xdr:cNvSpPr>
      </xdr:nvSpPr>
      <xdr:spPr>
        <a:xfrm rot="10800000">
          <a:off x="10934700" y="4019550"/>
          <a:ext cx="76200" cy="114875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</a:ln>
              <a:solidFill>
                <a:srgbClr val="FF0000"/>
              </a:solidFill>
              <a:effectLst/>
              <a:latin typeface="標楷體" panose="03000509000000000000" charset="-120"/>
              <a:ea typeface="標楷體" panose="03000509000000000000" charset="-120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</a:ln>
            <a:solidFill>
              <a:srgbClr val="FF0000"/>
            </a:solidFill>
            <a:effectLst/>
            <a:latin typeface="標楷體" panose="03000509000000000000" charset="-120"/>
            <a:ea typeface="標楷體" panose="03000509000000000000" charset="-120"/>
          </a:endParaRPr>
        </a:p>
      </xdr:txBody>
    </xdr:sp>
    <xdr:clientData/>
  </xdr:twoCellAnchor>
  <xdr:twoCellAnchor editAs="oneCell">
    <xdr:from>
      <xdr:col>9</xdr:col>
      <xdr:colOff>0</xdr:colOff>
      <xdr:row>25</xdr:row>
      <xdr:rowOff>57150</xdr:rowOff>
    </xdr:from>
    <xdr:to>
      <xdr:col>9</xdr:col>
      <xdr:colOff>76200</xdr:colOff>
      <xdr:row>26</xdr:row>
      <xdr:rowOff>13278</xdr:rowOff>
    </xdr:to>
    <xdr:sp macro="" textlink="">
      <xdr:nvSpPr>
        <xdr:cNvPr id="5" name="TM407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>
          <a:spLocks noChangeArrowheads="1" noChangeShapeType="1" noTextEdit="1"/>
        </xdr:cNvSpPr>
      </xdr:nvSpPr>
      <xdr:spPr>
        <a:xfrm rot="10800000">
          <a:off x="10934700" y="4184650"/>
          <a:ext cx="76200" cy="114878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</a:ln>
              <a:solidFill>
                <a:srgbClr val="FF0000"/>
              </a:solidFill>
              <a:effectLst/>
              <a:latin typeface="標楷體" panose="03000509000000000000" charset="-120"/>
              <a:ea typeface="標楷體" panose="03000509000000000000" charset="-120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</a:ln>
            <a:solidFill>
              <a:srgbClr val="FF0000"/>
            </a:solidFill>
            <a:effectLst/>
            <a:latin typeface="標楷體" panose="03000509000000000000" charset="-120"/>
            <a:ea typeface="標楷體" panose="03000509000000000000" charset="-12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24</xdr:row>
      <xdr:rowOff>57150</xdr:rowOff>
    </xdr:from>
    <xdr:to>
      <xdr:col>9</xdr:col>
      <xdr:colOff>76200</xdr:colOff>
      <xdr:row>25</xdr:row>
      <xdr:rowOff>13275</xdr:rowOff>
    </xdr:to>
    <xdr:sp macro="" textlink="">
      <xdr:nvSpPr>
        <xdr:cNvPr id="2" name="TM407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>
          <a:spLocks noChangeArrowheads="1" noChangeShapeType="1" noTextEdit="1"/>
        </xdr:cNvSpPr>
      </xdr:nvSpPr>
      <xdr:spPr bwMode="auto">
        <a:xfrm rot="10800000">
          <a:off x="10934700" y="4019550"/>
          <a:ext cx="76200" cy="114875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  <a:headEnd/>
                <a:tailEnd/>
              </a:ln>
              <a:solidFill>
                <a:srgbClr val="FF0000"/>
              </a:solidFill>
              <a:effectLst/>
              <a:latin typeface="標楷體"/>
              <a:ea typeface="標楷體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  <a:headEnd/>
              <a:tailEnd/>
            </a:ln>
            <a:solidFill>
              <a:srgbClr val="FF0000"/>
            </a:solidFill>
            <a:effectLst/>
            <a:latin typeface="標楷體"/>
            <a:ea typeface="標楷體"/>
          </a:endParaRPr>
        </a:p>
      </xdr:txBody>
    </xdr:sp>
    <xdr:clientData/>
  </xdr:twoCellAnchor>
  <xdr:twoCellAnchor editAs="oneCell">
    <xdr:from>
      <xdr:col>9</xdr:col>
      <xdr:colOff>0</xdr:colOff>
      <xdr:row>25</xdr:row>
      <xdr:rowOff>57150</xdr:rowOff>
    </xdr:from>
    <xdr:to>
      <xdr:col>9</xdr:col>
      <xdr:colOff>76200</xdr:colOff>
      <xdr:row>26</xdr:row>
      <xdr:rowOff>13278</xdr:rowOff>
    </xdr:to>
    <xdr:sp macro="" textlink="">
      <xdr:nvSpPr>
        <xdr:cNvPr id="3" name="TM407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>
          <a:spLocks noChangeArrowheads="1" noChangeShapeType="1" noTextEdit="1"/>
        </xdr:cNvSpPr>
      </xdr:nvSpPr>
      <xdr:spPr bwMode="auto">
        <a:xfrm rot="10800000">
          <a:off x="10934700" y="4184650"/>
          <a:ext cx="76200" cy="114878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  <a:headEnd/>
                <a:tailEnd/>
              </a:ln>
              <a:solidFill>
                <a:srgbClr val="FF0000"/>
              </a:solidFill>
              <a:effectLst/>
              <a:latin typeface="標楷體"/>
              <a:ea typeface="標楷體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  <a:headEnd/>
              <a:tailEnd/>
            </a:ln>
            <a:solidFill>
              <a:srgbClr val="FF0000"/>
            </a:solidFill>
            <a:effectLst/>
            <a:latin typeface="標楷體"/>
            <a:ea typeface="標楷體"/>
          </a:endParaRPr>
        </a:p>
      </xdr:txBody>
    </xdr:sp>
    <xdr:clientData/>
  </xdr:twoCellAnchor>
  <xdr:twoCellAnchor editAs="oneCell">
    <xdr:from>
      <xdr:col>9</xdr:col>
      <xdr:colOff>0</xdr:colOff>
      <xdr:row>24</xdr:row>
      <xdr:rowOff>57150</xdr:rowOff>
    </xdr:from>
    <xdr:to>
      <xdr:col>9</xdr:col>
      <xdr:colOff>76200</xdr:colOff>
      <xdr:row>25</xdr:row>
      <xdr:rowOff>13275</xdr:rowOff>
    </xdr:to>
    <xdr:sp macro="" textlink="">
      <xdr:nvSpPr>
        <xdr:cNvPr id="4" name="TM407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>
          <a:spLocks noChangeArrowheads="1" noChangeShapeType="1" noTextEdit="1"/>
        </xdr:cNvSpPr>
      </xdr:nvSpPr>
      <xdr:spPr>
        <a:xfrm rot="10800000">
          <a:off x="10934700" y="4019550"/>
          <a:ext cx="76200" cy="114875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</a:ln>
              <a:solidFill>
                <a:srgbClr val="FF0000"/>
              </a:solidFill>
              <a:effectLst/>
              <a:latin typeface="標楷體" panose="03000509000000000000" charset="-120"/>
              <a:ea typeface="標楷體" panose="03000509000000000000" charset="-120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</a:ln>
            <a:solidFill>
              <a:srgbClr val="FF0000"/>
            </a:solidFill>
            <a:effectLst/>
            <a:latin typeface="標楷體" panose="03000509000000000000" charset="-120"/>
            <a:ea typeface="標楷體" panose="03000509000000000000" charset="-120"/>
          </a:endParaRPr>
        </a:p>
      </xdr:txBody>
    </xdr:sp>
    <xdr:clientData/>
  </xdr:twoCellAnchor>
  <xdr:twoCellAnchor editAs="oneCell">
    <xdr:from>
      <xdr:col>9</xdr:col>
      <xdr:colOff>0</xdr:colOff>
      <xdr:row>25</xdr:row>
      <xdr:rowOff>57150</xdr:rowOff>
    </xdr:from>
    <xdr:to>
      <xdr:col>9</xdr:col>
      <xdr:colOff>76200</xdr:colOff>
      <xdr:row>26</xdr:row>
      <xdr:rowOff>13278</xdr:rowOff>
    </xdr:to>
    <xdr:sp macro="" textlink="">
      <xdr:nvSpPr>
        <xdr:cNvPr id="5" name="TM407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>
          <a:spLocks noChangeArrowheads="1" noChangeShapeType="1" noTextEdit="1"/>
        </xdr:cNvSpPr>
      </xdr:nvSpPr>
      <xdr:spPr>
        <a:xfrm rot="10800000">
          <a:off x="10934700" y="4184650"/>
          <a:ext cx="76200" cy="114878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</a:ln>
              <a:solidFill>
                <a:srgbClr val="FF0000"/>
              </a:solidFill>
              <a:effectLst/>
              <a:latin typeface="標楷體" panose="03000509000000000000" charset="-120"/>
              <a:ea typeface="標楷體" panose="03000509000000000000" charset="-120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</a:ln>
            <a:solidFill>
              <a:srgbClr val="FF0000"/>
            </a:solidFill>
            <a:effectLst/>
            <a:latin typeface="標楷體" panose="03000509000000000000" charset="-120"/>
            <a:ea typeface="標楷體" panose="03000509000000000000" charset="-120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24</xdr:row>
      <xdr:rowOff>57150</xdr:rowOff>
    </xdr:from>
    <xdr:to>
      <xdr:col>9</xdr:col>
      <xdr:colOff>76200</xdr:colOff>
      <xdr:row>25</xdr:row>
      <xdr:rowOff>2209</xdr:rowOff>
    </xdr:to>
    <xdr:sp macro="" textlink="">
      <xdr:nvSpPr>
        <xdr:cNvPr id="2" name="TM407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 noChangeShapeType="1" noTextEdit="1"/>
        </xdr:cNvSpPr>
      </xdr:nvSpPr>
      <xdr:spPr bwMode="auto">
        <a:xfrm rot="10800000">
          <a:off x="10477500" y="4171950"/>
          <a:ext cx="76200" cy="106891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  <a:headEnd/>
                <a:tailEnd/>
              </a:ln>
              <a:solidFill>
                <a:srgbClr val="FF0000"/>
              </a:solidFill>
              <a:effectLst/>
              <a:latin typeface="標楷體"/>
              <a:ea typeface="標楷體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  <a:headEnd/>
              <a:tailEnd/>
            </a:ln>
            <a:solidFill>
              <a:srgbClr val="FF0000"/>
            </a:solidFill>
            <a:effectLst/>
            <a:latin typeface="標楷體"/>
            <a:ea typeface="標楷體"/>
          </a:endParaRPr>
        </a:p>
      </xdr:txBody>
    </xdr:sp>
    <xdr:clientData/>
  </xdr:twoCellAnchor>
  <xdr:twoCellAnchor editAs="oneCell">
    <xdr:from>
      <xdr:col>9</xdr:col>
      <xdr:colOff>0</xdr:colOff>
      <xdr:row>25</xdr:row>
      <xdr:rowOff>57150</xdr:rowOff>
    </xdr:from>
    <xdr:to>
      <xdr:col>9</xdr:col>
      <xdr:colOff>76200</xdr:colOff>
      <xdr:row>26</xdr:row>
      <xdr:rowOff>578</xdr:rowOff>
    </xdr:to>
    <xdr:sp macro="" textlink="">
      <xdr:nvSpPr>
        <xdr:cNvPr id="3" name="TM407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 noChangeShapeType="1" noTextEdit="1"/>
        </xdr:cNvSpPr>
      </xdr:nvSpPr>
      <xdr:spPr bwMode="auto">
        <a:xfrm rot="10800000">
          <a:off x="10477500" y="4343400"/>
          <a:ext cx="76200" cy="106893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  <a:headEnd/>
                <a:tailEnd/>
              </a:ln>
              <a:solidFill>
                <a:srgbClr val="FF0000"/>
              </a:solidFill>
              <a:effectLst/>
              <a:latin typeface="標楷體"/>
              <a:ea typeface="標楷體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  <a:headEnd/>
              <a:tailEnd/>
            </a:ln>
            <a:solidFill>
              <a:srgbClr val="FF0000"/>
            </a:solidFill>
            <a:effectLst/>
            <a:latin typeface="標楷體"/>
            <a:ea typeface="標楷體"/>
          </a:endParaRPr>
        </a:p>
      </xdr:txBody>
    </xdr:sp>
    <xdr:clientData/>
  </xdr:twoCellAnchor>
  <xdr:twoCellAnchor editAs="oneCell">
    <xdr:from>
      <xdr:col>9</xdr:col>
      <xdr:colOff>0</xdr:colOff>
      <xdr:row>24</xdr:row>
      <xdr:rowOff>57150</xdr:rowOff>
    </xdr:from>
    <xdr:to>
      <xdr:col>9</xdr:col>
      <xdr:colOff>76200</xdr:colOff>
      <xdr:row>25</xdr:row>
      <xdr:rowOff>2209</xdr:rowOff>
    </xdr:to>
    <xdr:sp macro="" textlink="">
      <xdr:nvSpPr>
        <xdr:cNvPr id="5" name="TM407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>
          <a:spLocks noChangeArrowheads="1" noChangeShapeType="1" noTextEdit="1"/>
        </xdr:cNvSpPr>
      </xdr:nvSpPr>
      <xdr:spPr>
        <a:xfrm rot="10800000">
          <a:off x="10477500" y="4171950"/>
          <a:ext cx="76200" cy="108525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</a:ln>
              <a:solidFill>
                <a:srgbClr val="FF0000"/>
              </a:solidFill>
              <a:effectLst/>
              <a:latin typeface="標楷體" panose="03000509000000000000" charset="-120"/>
              <a:ea typeface="標楷體" panose="03000509000000000000" charset="-120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</a:ln>
            <a:solidFill>
              <a:srgbClr val="FF0000"/>
            </a:solidFill>
            <a:effectLst/>
            <a:latin typeface="標楷體" panose="03000509000000000000" charset="-120"/>
            <a:ea typeface="標楷體" panose="03000509000000000000" charset="-120"/>
          </a:endParaRPr>
        </a:p>
      </xdr:txBody>
    </xdr:sp>
    <xdr:clientData/>
  </xdr:twoCellAnchor>
  <xdr:twoCellAnchor editAs="oneCell">
    <xdr:from>
      <xdr:col>9</xdr:col>
      <xdr:colOff>0</xdr:colOff>
      <xdr:row>25</xdr:row>
      <xdr:rowOff>57150</xdr:rowOff>
    </xdr:from>
    <xdr:to>
      <xdr:col>9</xdr:col>
      <xdr:colOff>76200</xdr:colOff>
      <xdr:row>26</xdr:row>
      <xdr:rowOff>578</xdr:rowOff>
    </xdr:to>
    <xdr:sp macro="" textlink="">
      <xdr:nvSpPr>
        <xdr:cNvPr id="6" name="TM407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>
          <a:spLocks noChangeArrowheads="1" noChangeShapeType="1" noTextEdit="1"/>
        </xdr:cNvSpPr>
      </xdr:nvSpPr>
      <xdr:spPr>
        <a:xfrm rot="10800000">
          <a:off x="10477500" y="4343400"/>
          <a:ext cx="76200" cy="114878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</a:ln>
              <a:solidFill>
                <a:srgbClr val="FF0000"/>
              </a:solidFill>
              <a:effectLst/>
              <a:latin typeface="標楷體" panose="03000509000000000000" charset="-120"/>
              <a:ea typeface="標楷體" panose="03000509000000000000" charset="-120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</a:ln>
            <a:solidFill>
              <a:srgbClr val="FF0000"/>
            </a:solidFill>
            <a:effectLst/>
            <a:latin typeface="標楷體" panose="03000509000000000000" charset="-120"/>
            <a:ea typeface="標楷體" panose="03000509000000000000" charset="-120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24</xdr:row>
      <xdr:rowOff>57150</xdr:rowOff>
    </xdr:from>
    <xdr:to>
      <xdr:col>9</xdr:col>
      <xdr:colOff>76200</xdr:colOff>
      <xdr:row>25</xdr:row>
      <xdr:rowOff>6349</xdr:rowOff>
    </xdr:to>
    <xdr:sp macro="" textlink="">
      <xdr:nvSpPr>
        <xdr:cNvPr id="2" name="TM407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>
          <a:spLocks noChangeArrowheads="1" noChangeShapeType="1" noTextEdit="1"/>
        </xdr:cNvSpPr>
      </xdr:nvSpPr>
      <xdr:spPr bwMode="auto">
        <a:xfrm rot="10800000">
          <a:off x="11525250" y="4178300"/>
          <a:ext cx="76200" cy="120649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  <a:headEnd/>
                <a:tailEnd/>
              </a:ln>
              <a:solidFill>
                <a:srgbClr val="FF0000"/>
              </a:solidFill>
              <a:effectLst/>
              <a:latin typeface="標楷體"/>
              <a:ea typeface="標楷體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  <a:headEnd/>
              <a:tailEnd/>
            </a:ln>
            <a:solidFill>
              <a:srgbClr val="FF0000"/>
            </a:solidFill>
            <a:effectLst/>
            <a:latin typeface="標楷體"/>
            <a:ea typeface="標楷體"/>
          </a:endParaRPr>
        </a:p>
      </xdr:txBody>
    </xdr:sp>
    <xdr:clientData/>
  </xdr:twoCellAnchor>
  <xdr:twoCellAnchor editAs="oneCell">
    <xdr:from>
      <xdr:col>9</xdr:col>
      <xdr:colOff>0</xdr:colOff>
      <xdr:row>25</xdr:row>
      <xdr:rowOff>57150</xdr:rowOff>
    </xdr:from>
    <xdr:to>
      <xdr:col>9</xdr:col>
      <xdr:colOff>76200</xdr:colOff>
      <xdr:row>26</xdr:row>
      <xdr:rowOff>6351</xdr:rowOff>
    </xdr:to>
    <xdr:sp macro="" textlink="">
      <xdr:nvSpPr>
        <xdr:cNvPr id="3" name="TM407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>
          <a:spLocks noChangeArrowheads="1" noChangeShapeType="1" noTextEdit="1"/>
        </xdr:cNvSpPr>
      </xdr:nvSpPr>
      <xdr:spPr bwMode="auto">
        <a:xfrm rot="10800000">
          <a:off x="11525250" y="4349750"/>
          <a:ext cx="76200" cy="120651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  <a:headEnd/>
                <a:tailEnd/>
              </a:ln>
              <a:solidFill>
                <a:srgbClr val="FF0000"/>
              </a:solidFill>
              <a:effectLst/>
              <a:latin typeface="標楷體"/>
              <a:ea typeface="標楷體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  <a:headEnd/>
              <a:tailEnd/>
            </a:ln>
            <a:solidFill>
              <a:srgbClr val="FF0000"/>
            </a:solidFill>
            <a:effectLst/>
            <a:latin typeface="標楷體"/>
            <a:ea typeface="標楷體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24</xdr:row>
      <xdr:rowOff>57150</xdr:rowOff>
    </xdr:from>
    <xdr:to>
      <xdr:col>9</xdr:col>
      <xdr:colOff>76200</xdr:colOff>
      <xdr:row>25</xdr:row>
      <xdr:rowOff>5291</xdr:rowOff>
    </xdr:to>
    <xdr:sp macro="" textlink="">
      <xdr:nvSpPr>
        <xdr:cNvPr id="2" name="TM407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>
          <a:spLocks noChangeArrowheads="1" noChangeShapeType="1" noTextEdit="1"/>
        </xdr:cNvSpPr>
      </xdr:nvSpPr>
      <xdr:spPr bwMode="auto">
        <a:xfrm rot="10800000">
          <a:off x="10972800" y="4019550"/>
          <a:ext cx="76200" cy="106891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  <a:headEnd/>
                <a:tailEnd/>
              </a:ln>
              <a:solidFill>
                <a:srgbClr val="FF0000"/>
              </a:solidFill>
              <a:effectLst/>
              <a:latin typeface="標楷體"/>
              <a:ea typeface="標楷體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  <a:headEnd/>
              <a:tailEnd/>
            </a:ln>
            <a:solidFill>
              <a:srgbClr val="FF0000"/>
            </a:solidFill>
            <a:effectLst/>
            <a:latin typeface="標楷體"/>
            <a:ea typeface="標楷體"/>
          </a:endParaRPr>
        </a:p>
      </xdr:txBody>
    </xdr:sp>
    <xdr:clientData/>
  </xdr:twoCellAnchor>
  <xdr:twoCellAnchor editAs="oneCell">
    <xdr:from>
      <xdr:col>9</xdr:col>
      <xdr:colOff>0</xdr:colOff>
      <xdr:row>25</xdr:row>
      <xdr:rowOff>57150</xdr:rowOff>
    </xdr:from>
    <xdr:to>
      <xdr:col>9</xdr:col>
      <xdr:colOff>76200</xdr:colOff>
      <xdr:row>26</xdr:row>
      <xdr:rowOff>5293</xdr:rowOff>
    </xdr:to>
    <xdr:sp macro="" textlink="">
      <xdr:nvSpPr>
        <xdr:cNvPr id="3" name="TM407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>
          <a:spLocks noChangeArrowheads="1" noChangeShapeType="1" noTextEdit="1"/>
        </xdr:cNvSpPr>
      </xdr:nvSpPr>
      <xdr:spPr bwMode="auto">
        <a:xfrm rot="10800000">
          <a:off x="10972800" y="4184650"/>
          <a:ext cx="76200" cy="106893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  <a:headEnd/>
                <a:tailEnd/>
              </a:ln>
              <a:solidFill>
                <a:srgbClr val="FF0000"/>
              </a:solidFill>
              <a:effectLst/>
              <a:latin typeface="標楷體"/>
              <a:ea typeface="標楷體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  <a:headEnd/>
              <a:tailEnd/>
            </a:ln>
            <a:solidFill>
              <a:srgbClr val="FF0000"/>
            </a:solidFill>
            <a:effectLst/>
            <a:latin typeface="標楷體"/>
            <a:ea typeface="標楷體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24</xdr:row>
      <xdr:rowOff>57150</xdr:rowOff>
    </xdr:from>
    <xdr:to>
      <xdr:col>9</xdr:col>
      <xdr:colOff>76200</xdr:colOff>
      <xdr:row>25</xdr:row>
      <xdr:rowOff>11641</xdr:rowOff>
    </xdr:to>
    <xdr:sp macro="" textlink="">
      <xdr:nvSpPr>
        <xdr:cNvPr id="2" name="TM407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>
          <a:spLocks noChangeArrowheads="1" noChangeShapeType="1" noTextEdit="1"/>
        </xdr:cNvSpPr>
      </xdr:nvSpPr>
      <xdr:spPr bwMode="auto">
        <a:xfrm rot="10800000">
          <a:off x="11677650" y="4019550"/>
          <a:ext cx="76200" cy="119591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  <a:headEnd/>
                <a:tailEnd/>
              </a:ln>
              <a:solidFill>
                <a:srgbClr val="FF0000"/>
              </a:solidFill>
              <a:effectLst/>
              <a:latin typeface="標楷體"/>
              <a:ea typeface="標楷體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  <a:headEnd/>
              <a:tailEnd/>
            </a:ln>
            <a:solidFill>
              <a:srgbClr val="FF0000"/>
            </a:solidFill>
            <a:effectLst/>
            <a:latin typeface="標楷體"/>
            <a:ea typeface="標楷體"/>
          </a:endParaRPr>
        </a:p>
      </xdr:txBody>
    </xdr:sp>
    <xdr:clientData/>
  </xdr:twoCellAnchor>
  <xdr:twoCellAnchor editAs="oneCell">
    <xdr:from>
      <xdr:col>9</xdr:col>
      <xdr:colOff>0</xdr:colOff>
      <xdr:row>25</xdr:row>
      <xdr:rowOff>57150</xdr:rowOff>
    </xdr:from>
    <xdr:to>
      <xdr:col>9</xdr:col>
      <xdr:colOff>76200</xdr:colOff>
      <xdr:row>26</xdr:row>
      <xdr:rowOff>11643</xdr:rowOff>
    </xdr:to>
    <xdr:sp macro="" textlink="">
      <xdr:nvSpPr>
        <xdr:cNvPr id="3" name="TM407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>
          <a:spLocks noChangeArrowheads="1" noChangeShapeType="1" noTextEdit="1"/>
        </xdr:cNvSpPr>
      </xdr:nvSpPr>
      <xdr:spPr bwMode="auto">
        <a:xfrm rot="10800000">
          <a:off x="11677650" y="4184650"/>
          <a:ext cx="76200" cy="119593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  <a:headEnd/>
                <a:tailEnd/>
              </a:ln>
              <a:solidFill>
                <a:srgbClr val="FF0000"/>
              </a:solidFill>
              <a:effectLst/>
              <a:latin typeface="標楷體"/>
              <a:ea typeface="標楷體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  <a:headEnd/>
              <a:tailEnd/>
            </a:ln>
            <a:solidFill>
              <a:srgbClr val="FF0000"/>
            </a:solidFill>
            <a:effectLst/>
            <a:latin typeface="標楷體"/>
            <a:ea typeface="標楷體"/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24</xdr:row>
      <xdr:rowOff>57150</xdr:rowOff>
    </xdr:from>
    <xdr:to>
      <xdr:col>9</xdr:col>
      <xdr:colOff>76200</xdr:colOff>
      <xdr:row>25</xdr:row>
      <xdr:rowOff>6350</xdr:rowOff>
    </xdr:to>
    <xdr:sp macro="" textlink="">
      <xdr:nvSpPr>
        <xdr:cNvPr id="2" name="TM407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>
          <a:spLocks noChangeArrowheads="1" noChangeShapeType="1" noTextEdit="1"/>
        </xdr:cNvSpPr>
      </xdr:nvSpPr>
      <xdr:spPr bwMode="auto">
        <a:xfrm rot="10800000">
          <a:off x="10972800" y="4400550"/>
          <a:ext cx="76200" cy="130175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  <a:headEnd/>
                <a:tailEnd/>
              </a:ln>
              <a:solidFill>
                <a:srgbClr val="FF0000"/>
              </a:solidFill>
              <a:effectLst/>
              <a:latin typeface="標楷體"/>
              <a:ea typeface="標楷體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  <a:headEnd/>
              <a:tailEnd/>
            </a:ln>
            <a:solidFill>
              <a:srgbClr val="FF0000"/>
            </a:solidFill>
            <a:effectLst/>
            <a:latin typeface="標楷體"/>
            <a:ea typeface="標楷體"/>
          </a:endParaRPr>
        </a:p>
      </xdr:txBody>
    </xdr:sp>
    <xdr:clientData/>
  </xdr:twoCellAnchor>
  <xdr:twoCellAnchor editAs="oneCell">
    <xdr:from>
      <xdr:col>9</xdr:col>
      <xdr:colOff>0</xdr:colOff>
      <xdr:row>25</xdr:row>
      <xdr:rowOff>57150</xdr:rowOff>
    </xdr:from>
    <xdr:to>
      <xdr:col>9</xdr:col>
      <xdr:colOff>76200</xdr:colOff>
      <xdr:row>26</xdr:row>
      <xdr:rowOff>6350</xdr:rowOff>
    </xdr:to>
    <xdr:sp macro="" textlink="">
      <xdr:nvSpPr>
        <xdr:cNvPr id="3" name="TM407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>
          <a:spLocks noChangeArrowheads="1" noChangeShapeType="1" noTextEdit="1"/>
        </xdr:cNvSpPr>
      </xdr:nvSpPr>
      <xdr:spPr bwMode="auto">
        <a:xfrm rot="10800000">
          <a:off x="10972800" y="4581525"/>
          <a:ext cx="76200" cy="130175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  <a:headEnd/>
                <a:tailEnd/>
              </a:ln>
              <a:solidFill>
                <a:srgbClr val="FF0000"/>
              </a:solidFill>
              <a:effectLst/>
              <a:latin typeface="標楷體"/>
              <a:ea typeface="標楷體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  <a:headEnd/>
              <a:tailEnd/>
            </a:ln>
            <a:solidFill>
              <a:srgbClr val="FF0000"/>
            </a:solidFill>
            <a:effectLst/>
            <a:latin typeface="標楷體"/>
            <a:ea typeface="標楷體"/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24</xdr:row>
      <xdr:rowOff>57150</xdr:rowOff>
    </xdr:from>
    <xdr:to>
      <xdr:col>9</xdr:col>
      <xdr:colOff>76200</xdr:colOff>
      <xdr:row>25</xdr:row>
      <xdr:rowOff>6350</xdr:rowOff>
    </xdr:to>
    <xdr:sp macro="" textlink="">
      <xdr:nvSpPr>
        <xdr:cNvPr id="2" name="TM407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>
          <a:spLocks noChangeArrowheads="1" noChangeShapeType="1" noTextEdit="1"/>
        </xdr:cNvSpPr>
      </xdr:nvSpPr>
      <xdr:spPr bwMode="auto">
        <a:xfrm rot="10800000">
          <a:off x="10972800" y="4400550"/>
          <a:ext cx="76200" cy="130175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  <a:headEnd/>
                <a:tailEnd/>
              </a:ln>
              <a:solidFill>
                <a:srgbClr val="FF0000"/>
              </a:solidFill>
              <a:effectLst/>
              <a:latin typeface="標楷體"/>
              <a:ea typeface="標楷體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  <a:headEnd/>
              <a:tailEnd/>
            </a:ln>
            <a:solidFill>
              <a:srgbClr val="FF0000"/>
            </a:solidFill>
            <a:effectLst/>
            <a:latin typeface="標楷體"/>
            <a:ea typeface="標楷體"/>
          </a:endParaRPr>
        </a:p>
      </xdr:txBody>
    </xdr:sp>
    <xdr:clientData/>
  </xdr:twoCellAnchor>
  <xdr:twoCellAnchor editAs="oneCell">
    <xdr:from>
      <xdr:col>9</xdr:col>
      <xdr:colOff>0</xdr:colOff>
      <xdr:row>25</xdr:row>
      <xdr:rowOff>57150</xdr:rowOff>
    </xdr:from>
    <xdr:to>
      <xdr:col>9</xdr:col>
      <xdr:colOff>76200</xdr:colOff>
      <xdr:row>26</xdr:row>
      <xdr:rowOff>6350</xdr:rowOff>
    </xdr:to>
    <xdr:sp macro="" textlink="">
      <xdr:nvSpPr>
        <xdr:cNvPr id="3" name="TM407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>
          <a:spLocks noChangeArrowheads="1" noChangeShapeType="1" noTextEdit="1"/>
        </xdr:cNvSpPr>
      </xdr:nvSpPr>
      <xdr:spPr bwMode="auto">
        <a:xfrm rot="10800000">
          <a:off x="10972800" y="4581525"/>
          <a:ext cx="76200" cy="130175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  <a:headEnd/>
                <a:tailEnd/>
              </a:ln>
              <a:solidFill>
                <a:srgbClr val="FF0000"/>
              </a:solidFill>
              <a:effectLst/>
              <a:latin typeface="標楷體"/>
              <a:ea typeface="標楷體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  <a:headEnd/>
              <a:tailEnd/>
            </a:ln>
            <a:solidFill>
              <a:srgbClr val="FF0000"/>
            </a:solidFill>
            <a:effectLst/>
            <a:latin typeface="標楷體"/>
            <a:ea typeface="標楷體"/>
          </a:endParaRPr>
        </a:p>
      </xdr:txBody>
    </xdr:sp>
    <xdr:clientData/>
  </xdr:twoCellAnchor>
  <xdr:twoCellAnchor editAs="oneCell">
    <xdr:from>
      <xdr:col>9</xdr:col>
      <xdr:colOff>0</xdr:colOff>
      <xdr:row>30</xdr:row>
      <xdr:rowOff>63500</xdr:rowOff>
    </xdr:from>
    <xdr:to>
      <xdr:col>9</xdr:col>
      <xdr:colOff>76200</xdr:colOff>
      <xdr:row>30</xdr:row>
      <xdr:rowOff>193675</xdr:rowOff>
    </xdr:to>
    <xdr:sp macro="" textlink="">
      <xdr:nvSpPr>
        <xdr:cNvPr id="4" name="TM407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>
          <a:spLocks noChangeArrowheads="1" noChangeShapeType="1" noTextEdit="1"/>
        </xdr:cNvSpPr>
      </xdr:nvSpPr>
      <xdr:spPr bwMode="auto">
        <a:xfrm rot="10800000">
          <a:off x="10972800" y="5492750"/>
          <a:ext cx="76200" cy="130175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  <a:headEnd/>
                <a:tailEnd/>
              </a:ln>
              <a:solidFill>
                <a:srgbClr val="FF0000"/>
              </a:solidFill>
              <a:effectLst/>
              <a:latin typeface="標楷體"/>
              <a:ea typeface="標楷體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  <a:headEnd/>
              <a:tailEnd/>
            </a:ln>
            <a:solidFill>
              <a:srgbClr val="FF0000"/>
            </a:solidFill>
            <a:effectLst/>
            <a:latin typeface="標楷體"/>
            <a:ea typeface="標楷體"/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24</xdr:row>
      <xdr:rowOff>57150</xdr:rowOff>
    </xdr:from>
    <xdr:to>
      <xdr:col>9</xdr:col>
      <xdr:colOff>76200</xdr:colOff>
      <xdr:row>25</xdr:row>
      <xdr:rowOff>6350</xdr:rowOff>
    </xdr:to>
    <xdr:sp macro="" textlink="">
      <xdr:nvSpPr>
        <xdr:cNvPr id="2" name="TM407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>
          <a:spLocks noChangeArrowheads="1" noChangeShapeType="1" noTextEdit="1"/>
        </xdr:cNvSpPr>
      </xdr:nvSpPr>
      <xdr:spPr bwMode="auto">
        <a:xfrm rot="10800000">
          <a:off x="10972800" y="4400550"/>
          <a:ext cx="76200" cy="130175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  <a:headEnd/>
                <a:tailEnd/>
              </a:ln>
              <a:solidFill>
                <a:srgbClr val="FF0000"/>
              </a:solidFill>
              <a:effectLst/>
              <a:latin typeface="標楷體"/>
              <a:ea typeface="標楷體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  <a:headEnd/>
              <a:tailEnd/>
            </a:ln>
            <a:solidFill>
              <a:srgbClr val="FF0000"/>
            </a:solidFill>
            <a:effectLst/>
            <a:latin typeface="標楷體"/>
            <a:ea typeface="標楷體"/>
          </a:endParaRPr>
        </a:p>
      </xdr:txBody>
    </xdr:sp>
    <xdr:clientData/>
  </xdr:twoCellAnchor>
  <xdr:twoCellAnchor editAs="oneCell">
    <xdr:from>
      <xdr:col>9</xdr:col>
      <xdr:colOff>0</xdr:colOff>
      <xdr:row>25</xdr:row>
      <xdr:rowOff>57150</xdr:rowOff>
    </xdr:from>
    <xdr:to>
      <xdr:col>9</xdr:col>
      <xdr:colOff>76200</xdr:colOff>
      <xdr:row>26</xdr:row>
      <xdr:rowOff>6350</xdr:rowOff>
    </xdr:to>
    <xdr:sp macro="" textlink="">
      <xdr:nvSpPr>
        <xdr:cNvPr id="3" name="TM407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>
          <a:spLocks noChangeArrowheads="1" noChangeShapeType="1" noTextEdit="1"/>
        </xdr:cNvSpPr>
      </xdr:nvSpPr>
      <xdr:spPr bwMode="auto">
        <a:xfrm rot="10800000">
          <a:off x="10972800" y="4581525"/>
          <a:ext cx="76200" cy="130175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  <a:headEnd/>
                <a:tailEnd/>
              </a:ln>
              <a:solidFill>
                <a:srgbClr val="FF0000"/>
              </a:solidFill>
              <a:effectLst/>
              <a:latin typeface="標楷體"/>
              <a:ea typeface="標楷體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  <a:headEnd/>
              <a:tailEnd/>
            </a:ln>
            <a:solidFill>
              <a:srgbClr val="FF0000"/>
            </a:solidFill>
            <a:effectLst/>
            <a:latin typeface="標楷體"/>
            <a:ea typeface="標楷體"/>
          </a:endParaRPr>
        </a:p>
      </xdr:txBody>
    </xdr:sp>
    <xdr:clientData/>
  </xdr:twoCellAnchor>
  <xdr:twoCellAnchor editAs="oneCell">
    <xdr:from>
      <xdr:col>9</xdr:col>
      <xdr:colOff>0</xdr:colOff>
      <xdr:row>30</xdr:row>
      <xdr:rowOff>63500</xdr:rowOff>
    </xdr:from>
    <xdr:to>
      <xdr:col>9</xdr:col>
      <xdr:colOff>76200</xdr:colOff>
      <xdr:row>31</xdr:row>
      <xdr:rowOff>11112</xdr:rowOff>
    </xdr:to>
    <xdr:sp macro="" textlink="">
      <xdr:nvSpPr>
        <xdr:cNvPr id="4" name="TM407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>
          <a:spLocks noChangeArrowheads="1" noChangeShapeType="1" noTextEdit="1"/>
        </xdr:cNvSpPr>
      </xdr:nvSpPr>
      <xdr:spPr bwMode="auto">
        <a:xfrm rot="10800000">
          <a:off x="10972800" y="5492750"/>
          <a:ext cx="76200" cy="130175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  <a:headEnd/>
                <a:tailEnd/>
              </a:ln>
              <a:solidFill>
                <a:srgbClr val="FF0000"/>
              </a:solidFill>
              <a:effectLst/>
              <a:latin typeface="標楷體"/>
              <a:ea typeface="標楷體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  <a:headEnd/>
              <a:tailEnd/>
            </a:ln>
            <a:solidFill>
              <a:srgbClr val="FF0000"/>
            </a:solidFill>
            <a:effectLst/>
            <a:latin typeface="標楷體"/>
            <a:ea typeface="標楷體"/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24</xdr:row>
      <xdr:rowOff>57150</xdr:rowOff>
    </xdr:from>
    <xdr:to>
      <xdr:col>9</xdr:col>
      <xdr:colOff>76200</xdr:colOff>
      <xdr:row>25</xdr:row>
      <xdr:rowOff>6350</xdr:rowOff>
    </xdr:to>
    <xdr:sp macro="" textlink="">
      <xdr:nvSpPr>
        <xdr:cNvPr id="2" name="TM407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>
          <a:spLocks noChangeArrowheads="1" noChangeShapeType="1" noTextEdit="1"/>
        </xdr:cNvSpPr>
      </xdr:nvSpPr>
      <xdr:spPr bwMode="auto">
        <a:xfrm rot="10800000">
          <a:off x="10972800" y="4400550"/>
          <a:ext cx="76200" cy="130175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  <a:headEnd/>
                <a:tailEnd/>
              </a:ln>
              <a:solidFill>
                <a:srgbClr val="FF0000"/>
              </a:solidFill>
              <a:effectLst/>
              <a:latin typeface="標楷體"/>
              <a:ea typeface="標楷體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  <a:headEnd/>
              <a:tailEnd/>
            </a:ln>
            <a:solidFill>
              <a:srgbClr val="FF0000"/>
            </a:solidFill>
            <a:effectLst/>
            <a:latin typeface="標楷體"/>
            <a:ea typeface="標楷體"/>
          </a:endParaRPr>
        </a:p>
      </xdr:txBody>
    </xdr:sp>
    <xdr:clientData/>
  </xdr:twoCellAnchor>
  <xdr:twoCellAnchor editAs="oneCell">
    <xdr:from>
      <xdr:col>9</xdr:col>
      <xdr:colOff>0</xdr:colOff>
      <xdr:row>25</xdr:row>
      <xdr:rowOff>57150</xdr:rowOff>
    </xdr:from>
    <xdr:to>
      <xdr:col>9</xdr:col>
      <xdr:colOff>76200</xdr:colOff>
      <xdr:row>26</xdr:row>
      <xdr:rowOff>6350</xdr:rowOff>
    </xdr:to>
    <xdr:sp macro="" textlink="">
      <xdr:nvSpPr>
        <xdr:cNvPr id="3" name="TM407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>
          <a:spLocks noChangeArrowheads="1" noChangeShapeType="1" noTextEdit="1"/>
        </xdr:cNvSpPr>
      </xdr:nvSpPr>
      <xdr:spPr bwMode="auto">
        <a:xfrm rot="10800000">
          <a:off x="10972800" y="4581525"/>
          <a:ext cx="76200" cy="130175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  <a:headEnd/>
                <a:tailEnd/>
              </a:ln>
              <a:solidFill>
                <a:srgbClr val="FF0000"/>
              </a:solidFill>
              <a:effectLst/>
              <a:latin typeface="標楷體"/>
              <a:ea typeface="標楷體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  <a:headEnd/>
              <a:tailEnd/>
            </a:ln>
            <a:solidFill>
              <a:srgbClr val="FF0000"/>
            </a:solidFill>
            <a:effectLst/>
            <a:latin typeface="標楷體"/>
            <a:ea typeface="標楷體"/>
          </a:endParaRPr>
        </a:p>
      </xdr:txBody>
    </xdr:sp>
    <xdr:clientData/>
  </xdr:twoCellAnchor>
  <xdr:twoCellAnchor editAs="oneCell">
    <xdr:from>
      <xdr:col>9</xdr:col>
      <xdr:colOff>0</xdr:colOff>
      <xdr:row>30</xdr:row>
      <xdr:rowOff>63500</xdr:rowOff>
    </xdr:from>
    <xdr:to>
      <xdr:col>9</xdr:col>
      <xdr:colOff>76200</xdr:colOff>
      <xdr:row>30</xdr:row>
      <xdr:rowOff>193675</xdr:rowOff>
    </xdr:to>
    <xdr:sp macro="" textlink="">
      <xdr:nvSpPr>
        <xdr:cNvPr id="4" name="TM407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>
          <a:spLocks noChangeArrowheads="1" noChangeShapeType="1" noTextEdit="1"/>
        </xdr:cNvSpPr>
      </xdr:nvSpPr>
      <xdr:spPr bwMode="auto">
        <a:xfrm rot="10800000">
          <a:off x="10972800" y="5492750"/>
          <a:ext cx="76200" cy="130175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  <a:headEnd/>
                <a:tailEnd/>
              </a:ln>
              <a:solidFill>
                <a:srgbClr val="FF0000"/>
              </a:solidFill>
              <a:effectLst/>
              <a:latin typeface="標楷體"/>
              <a:ea typeface="標楷體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  <a:headEnd/>
              <a:tailEnd/>
            </a:ln>
            <a:solidFill>
              <a:srgbClr val="FF0000"/>
            </a:solidFill>
            <a:effectLst/>
            <a:latin typeface="標楷體"/>
            <a:ea typeface="標楷體"/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24</xdr:row>
      <xdr:rowOff>57150</xdr:rowOff>
    </xdr:from>
    <xdr:to>
      <xdr:col>9</xdr:col>
      <xdr:colOff>76200</xdr:colOff>
      <xdr:row>25</xdr:row>
      <xdr:rowOff>6350</xdr:rowOff>
    </xdr:to>
    <xdr:sp macro="" textlink="">
      <xdr:nvSpPr>
        <xdr:cNvPr id="2" name="TM407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>
          <a:spLocks noChangeArrowheads="1" noChangeShapeType="1" noTextEdit="1"/>
        </xdr:cNvSpPr>
      </xdr:nvSpPr>
      <xdr:spPr bwMode="auto">
        <a:xfrm rot="10800000">
          <a:off x="10972800" y="4400550"/>
          <a:ext cx="76200" cy="130175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  <a:headEnd/>
                <a:tailEnd/>
              </a:ln>
              <a:solidFill>
                <a:srgbClr val="FF0000"/>
              </a:solidFill>
              <a:effectLst/>
              <a:latin typeface="標楷體"/>
              <a:ea typeface="標楷體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  <a:headEnd/>
              <a:tailEnd/>
            </a:ln>
            <a:solidFill>
              <a:srgbClr val="FF0000"/>
            </a:solidFill>
            <a:effectLst/>
            <a:latin typeface="標楷體"/>
            <a:ea typeface="標楷體"/>
          </a:endParaRPr>
        </a:p>
      </xdr:txBody>
    </xdr:sp>
    <xdr:clientData/>
  </xdr:twoCellAnchor>
  <xdr:twoCellAnchor editAs="oneCell">
    <xdr:from>
      <xdr:col>9</xdr:col>
      <xdr:colOff>0</xdr:colOff>
      <xdr:row>25</xdr:row>
      <xdr:rowOff>57150</xdr:rowOff>
    </xdr:from>
    <xdr:to>
      <xdr:col>9</xdr:col>
      <xdr:colOff>76200</xdr:colOff>
      <xdr:row>26</xdr:row>
      <xdr:rowOff>6350</xdr:rowOff>
    </xdr:to>
    <xdr:sp macro="" textlink="">
      <xdr:nvSpPr>
        <xdr:cNvPr id="3" name="TM407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>
          <a:spLocks noChangeArrowheads="1" noChangeShapeType="1" noTextEdit="1"/>
        </xdr:cNvSpPr>
      </xdr:nvSpPr>
      <xdr:spPr bwMode="auto">
        <a:xfrm rot="10800000">
          <a:off x="10972800" y="4581525"/>
          <a:ext cx="76200" cy="130175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  <a:headEnd/>
                <a:tailEnd/>
              </a:ln>
              <a:solidFill>
                <a:srgbClr val="FF0000"/>
              </a:solidFill>
              <a:effectLst/>
              <a:latin typeface="標楷體"/>
              <a:ea typeface="標楷體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  <a:headEnd/>
              <a:tailEnd/>
            </a:ln>
            <a:solidFill>
              <a:srgbClr val="FF0000"/>
            </a:solidFill>
            <a:effectLst/>
            <a:latin typeface="標楷體"/>
            <a:ea typeface="標楷體"/>
          </a:endParaRPr>
        </a:p>
      </xdr:txBody>
    </xdr:sp>
    <xdr:clientData/>
  </xdr:twoCellAnchor>
  <xdr:twoCellAnchor editAs="oneCell">
    <xdr:from>
      <xdr:col>9</xdr:col>
      <xdr:colOff>0</xdr:colOff>
      <xdr:row>30</xdr:row>
      <xdr:rowOff>63500</xdr:rowOff>
    </xdr:from>
    <xdr:to>
      <xdr:col>9</xdr:col>
      <xdr:colOff>76200</xdr:colOff>
      <xdr:row>30</xdr:row>
      <xdr:rowOff>193675</xdr:rowOff>
    </xdr:to>
    <xdr:sp macro="" textlink="">
      <xdr:nvSpPr>
        <xdr:cNvPr id="4" name="TM407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>
          <a:spLocks noChangeArrowheads="1" noChangeShapeType="1" noTextEdit="1"/>
        </xdr:cNvSpPr>
      </xdr:nvSpPr>
      <xdr:spPr bwMode="auto">
        <a:xfrm rot="10800000">
          <a:off x="10972800" y="5492750"/>
          <a:ext cx="76200" cy="130175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  <a:headEnd/>
                <a:tailEnd/>
              </a:ln>
              <a:solidFill>
                <a:srgbClr val="FF0000"/>
              </a:solidFill>
              <a:effectLst/>
              <a:latin typeface="標楷體"/>
              <a:ea typeface="標楷體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  <a:headEnd/>
              <a:tailEnd/>
            </a:ln>
            <a:solidFill>
              <a:srgbClr val="FF0000"/>
            </a:solidFill>
            <a:effectLst/>
            <a:latin typeface="標楷體"/>
            <a:ea typeface="標楷體"/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24</xdr:row>
      <xdr:rowOff>57150</xdr:rowOff>
    </xdr:from>
    <xdr:to>
      <xdr:col>9</xdr:col>
      <xdr:colOff>76200</xdr:colOff>
      <xdr:row>25</xdr:row>
      <xdr:rowOff>6350</xdr:rowOff>
    </xdr:to>
    <xdr:sp macro="" textlink="">
      <xdr:nvSpPr>
        <xdr:cNvPr id="2" name="TM407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>
          <a:spLocks noChangeArrowheads="1" noChangeShapeType="1" noTextEdit="1"/>
        </xdr:cNvSpPr>
      </xdr:nvSpPr>
      <xdr:spPr bwMode="auto">
        <a:xfrm rot="10800000">
          <a:off x="10972800" y="4400550"/>
          <a:ext cx="76200" cy="130175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  <a:headEnd/>
                <a:tailEnd/>
              </a:ln>
              <a:solidFill>
                <a:srgbClr val="FF0000"/>
              </a:solidFill>
              <a:effectLst/>
              <a:latin typeface="標楷體"/>
              <a:ea typeface="標楷體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  <a:headEnd/>
              <a:tailEnd/>
            </a:ln>
            <a:solidFill>
              <a:srgbClr val="FF0000"/>
            </a:solidFill>
            <a:effectLst/>
            <a:latin typeface="標楷體"/>
            <a:ea typeface="標楷體"/>
          </a:endParaRPr>
        </a:p>
      </xdr:txBody>
    </xdr:sp>
    <xdr:clientData/>
  </xdr:twoCellAnchor>
  <xdr:twoCellAnchor editAs="oneCell">
    <xdr:from>
      <xdr:col>9</xdr:col>
      <xdr:colOff>0</xdr:colOff>
      <xdr:row>25</xdr:row>
      <xdr:rowOff>57150</xdr:rowOff>
    </xdr:from>
    <xdr:to>
      <xdr:col>9</xdr:col>
      <xdr:colOff>76200</xdr:colOff>
      <xdr:row>26</xdr:row>
      <xdr:rowOff>6350</xdr:rowOff>
    </xdr:to>
    <xdr:sp macro="" textlink="">
      <xdr:nvSpPr>
        <xdr:cNvPr id="3" name="TM407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>
          <a:spLocks noChangeArrowheads="1" noChangeShapeType="1" noTextEdit="1"/>
        </xdr:cNvSpPr>
      </xdr:nvSpPr>
      <xdr:spPr bwMode="auto">
        <a:xfrm rot="10800000">
          <a:off x="10972800" y="4581525"/>
          <a:ext cx="76200" cy="130175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  <a:headEnd/>
                <a:tailEnd/>
              </a:ln>
              <a:solidFill>
                <a:srgbClr val="FF0000"/>
              </a:solidFill>
              <a:effectLst/>
              <a:latin typeface="標楷體"/>
              <a:ea typeface="標楷體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  <a:headEnd/>
              <a:tailEnd/>
            </a:ln>
            <a:solidFill>
              <a:srgbClr val="FF0000"/>
            </a:solidFill>
            <a:effectLst/>
            <a:latin typeface="標楷體"/>
            <a:ea typeface="標楷體"/>
          </a:endParaRPr>
        </a:p>
      </xdr:txBody>
    </xdr:sp>
    <xdr:clientData/>
  </xdr:twoCellAnchor>
  <xdr:twoCellAnchor editAs="oneCell">
    <xdr:from>
      <xdr:col>9</xdr:col>
      <xdr:colOff>0</xdr:colOff>
      <xdr:row>30</xdr:row>
      <xdr:rowOff>63500</xdr:rowOff>
    </xdr:from>
    <xdr:to>
      <xdr:col>9</xdr:col>
      <xdr:colOff>76200</xdr:colOff>
      <xdr:row>30</xdr:row>
      <xdr:rowOff>193675</xdr:rowOff>
    </xdr:to>
    <xdr:sp macro="" textlink="">
      <xdr:nvSpPr>
        <xdr:cNvPr id="4" name="TM407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SpPr>
          <a:spLocks noChangeArrowheads="1" noChangeShapeType="1" noTextEdit="1"/>
        </xdr:cNvSpPr>
      </xdr:nvSpPr>
      <xdr:spPr bwMode="auto">
        <a:xfrm rot="10800000">
          <a:off x="10972800" y="5492750"/>
          <a:ext cx="76200" cy="130175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  <a:headEnd/>
                <a:tailEnd/>
              </a:ln>
              <a:solidFill>
                <a:srgbClr val="FF0000"/>
              </a:solidFill>
              <a:effectLst/>
              <a:latin typeface="標楷體"/>
              <a:ea typeface="標楷體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  <a:headEnd/>
              <a:tailEnd/>
            </a:ln>
            <a:solidFill>
              <a:srgbClr val="FF0000"/>
            </a:solidFill>
            <a:effectLst/>
            <a:latin typeface="標楷體"/>
            <a:ea typeface="標楷體"/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24</xdr:row>
      <xdr:rowOff>57150</xdr:rowOff>
    </xdr:from>
    <xdr:to>
      <xdr:col>9</xdr:col>
      <xdr:colOff>76200</xdr:colOff>
      <xdr:row>25</xdr:row>
      <xdr:rowOff>6350</xdr:rowOff>
    </xdr:to>
    <xdr:sp macro="" textlink="">
      <xdr:nvSpPr>
        <xdr:cNvPr id="2" name="TM407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>
          <a:spLocks noChangeArrowheads="1" noChangeShapeType="1" noTextEdit="1"/>
        </xdr:cNvSpPr>
      </xdr:nvSpPr>
      <xdr:spPr bwMode="auto">
        <a:xfrm rot="10800000">
          <a:off x="10229850" y="4400550"/>
          <a:ext cx="76200" cy="130175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  <a:headEnd/>
                <a:tailEnd/>
              </a:ln>
              <a:solidFill>
                <a:srgbClr val="FF0000"/>
              </a:solidFill>
              <a:effectLst/>
              <a:latin typeface="標楷體"/>
              <a:ea typeface="標楷體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  <a:headEnd/>
              <a:tailEnd/>
            </a:ln>
            <a:solidFill>
              <a:srgbClr val="FF0000"/>
            </a:solidFill>
            <a:effectLst/>
            <a:latin typeface="標楷體"/>
            <a:ea typeface="標楷體"/>
          </a:endParaRPr>
        </a:p>
      </xdr:txBody>
    </xdr:sp>
    <xdr:clientData/>
  </xdr:twoCellAnchor>
  <xdr:twoCellAnchor editAs="oneCell">
    <xdr:from>
      <xdr:col>9</xdr:col>
      <xdr:colOff>0</xdr:colOff>
      <xdr:row>25</xdr:row>
      <xdr:rowOff>57150</xdr:rowOff>
    </xdr:from>
    <xdr:to>
      <xdr:col>9</xdr:col>
      <xdr:colOff>76200</xdr:colOff>
      <xdr:row>26</xdr:row>
      <xdr:rowOff>6350</xdr:rowOff>
    </xdr:to>
    <xdr:sp macro="" textlink="">
      <xdr:nvSpPr>
        <xdr:cNvPr id="3" name="TM407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>
          <a:spLocks noChangeArrowheads="1" noChangeShapeType="1" noTextEdit="1"/>
        </xdr:cNvSpPr>
      </xdr:nvSpPr>
      <xdr:spPr bwMode="auto">
        <a:xfrm rot="10800000">
          <a:off x="10229850" y="4581525"/>
          <a:ext cx="76200" cy="130175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  <a:headEnd/>
                <a:tailEnd/>
              </a:ln>
              <a:solidFill>
                <a:srgbClr val="FF0000"/>
              </a:solidFill>
              <a:effectLst/>
              <a:latin typeface="標楷體"/>
              <a:ea typeface="標楷體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  <a:headEnd/>
              <a:tailEnd/>
            </a:ln>
            <a:solidFill>
              <a:srgbClr val="FF0000"/>
            </a:solidFill>
            <a:effectLst/>
            <a:latin typeface="標楷體"/>
            <a:ea typeface="標楷體"/>
          </a:endParaRPr>
        </a:p>
      </xdr:txBody>
    </xdr:sp>
    <xdr:clientData/>
  </xdr:twoCellAnchor>
  <xdr:twoCellAnchor editAs="oneCell">
    <xdr:from>
      <xdr:col>9</xdr:col>
      <xdr:colOff>0</xdr:colOff>
      <xdr:row>30</xdr:row>
      <xdr:rowOff>63500</xdr:rowOff>
    </xdr:from>
    <xdr:to>
      <xdr:col>9</xdr:col>
      <xdr:colOff>76200</xdr:colOff>
      <xdr:row>30</xdr:row>
      <xdr:rowOff>193675</xdr:rowOff>
    </xdr:to>
    <xdr:sp macro="" textlink="">
      <xdr:nvSpPr>
        <xdr:cNvPr id="4" name="TM407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SpPr>
          <a:spLocks noChangeArrowheads="1" noChangeShapeType="1" noTextEdit="1"/>
        </xdr:cNvSpPr>
      </xdr:nvSpPr>
      <xdr:spPr bwMode="auto">
        <a:xfrm rot="10800000">
          <a:off x="10229850" y="5492750"/>
          <a:ext cx="76200" cy="130175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  <a:headEnd/>
                <a:tailEnd/>
              </a:ln>
              <a:solidFill>
                <a:srgbClr val="FF0000"/>
              </a:solidFill>
              <a:effectLst/>
              <a:latin typeface="標楷體"/>
              <a:ea typeface="標楷體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  <a:headEnd/>
              <a:tailEnd/>
            </a:ln>
            <a:solidFill>
              <a:srgbClr val="FF0000"/>
            </a:solidFill>
            <a:effectLst/>
            <a:latin typeface="標楷體"/>
            <a:ea typeface="標楷體"/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24</xdr:row>
      <xdr:rowOff>57150</xdr:rowOff>
    </xdr:from>
    <xdr:to>
      <xdr:col>9</xdr:col>
      <xdr:colOff>76200</xdr:colOff>
      <xdr:row>25</xdr:row>
      <xdr:rowOff>6350</xdr:rowOff>
    </xdr:to>
    <xdr:sp macro="" textlink="">
      <xdr:nvSpPr>
        <xdr:cNvPr id="2" name="TM407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>
          <a:spLocks noChangeArrowheads="1" noChangeShapeType="1" noTextEdit="1"/>
        </xdr:cNvSpPr>
      </xdr:nvSpPr>
      <xdr:spPr bwMode="auto">
        <a:xfrm rot="10800000">
          <a:off x="10972800" y="4400550"/>
          <a:ext cx="76200" cy="130175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  <a:headEnd/>
                <a:tailEnd/>
              </a:ln>
              <a:solidFill>
                <a:srgbClr val="FF0000"/>
              </a:solidFill>
              <a:effectLst/>
              <a:latin typeface="標楷體"/>
              <a:ea typeface="標楷體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  <a:headEnd/>
              <a:tailEnd/>
            </a:ln>
            <a:solidFill>
              <a:srgbClr val="FF0000"/>
            </a:solidFill>
            <a:effectLst/>
            <a:latin typeface="標楷體"/>
            <a:ea typeface="標楷體"/>
          </a:endParaRPr>
        </a:p>
      </xdr:txBody>
    </xdr:sp>
    <xdr:clientData/>
  </xdr:twoCellAnchor>
  <xdr:twoCellAnchor editAs="oneCell">
    <xdr:from>
      <xdr:col>9</xdr:col>
      <xdr:colOff>0</xdr:colOff>
      <xdr:row>25</xdr:row>
      <xdr:rowOff>57150</xdr:rowOff>
    </xdr:from>
    <xdr:to>
      <xdr:col>9</xdr:col>
      <xdr:colOff>76200</xdr:colOff>
      <xdr:row>26</xdr:row>
      <xdr:rowOff>6350</xdr:rowOff>
    </xdr:to>
    <xdr:sp macro="" textlink="">
      <xdr:nvSpPr>
        <xdr:cNvPr id="3" name="TM407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>
          <a:spLocks noChangeArrowheads="1" noChangeShapeType="1" noTextEdit="1"/>
        </xdr:cNvSpPr>
      </xdr:nvSpPr>
      <xdr:spPr bwMode="auto">
        <a:xfrm rot="10800000">
          <a:off x="10972800" y="4581525"/>
          <a:ext cx="76200" cy="130175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  <a:headEnd/>
                <a:tailEnd/>
              </a:ln>
              <a:solidFill>
                <a:srgbClr val="FF0000"/>
              </a:solidFill>
              <a:effectLst/>
              <a:latin typeface="標楷體"/>
              <a:ea typeface="標楷體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  <a:headEnd/>
              <a:tailEnd/>
            </a:ln>
            <a:solidFill>
              <a:srgbClr val="FF0000"/>
            </a:solidFill>
            <a:effectLst/>
            <a:latin typeface="標楷體"/>
            <a:ea typeface="標楷體"/>
          </a:endParaRPr>
        </a:p>
      </xdr:txBody>
    </xdr:sp>
    <xdr:clientData/>
  </xdr:twoCellAnchor>
  <xdr:twoCellAnchor editAs="oneCell">
    <xdr:from>
      <xdr:col>9</xdr:col>
      <xdr:colOff>0</xdr:colOff>
      <xdr:row>30</xdr:row>
      <xdr:rowOff>63500</xdr:rowOff>
    </xdr:from>
    <xdr:to>
      <xdr:col>9</xdr:col>
      <xdr:colOff>76200</xdr:colOff>
      <xdr:row>30</xdr:row>
      <xdr:rowOff>193675</xdr:rowOff>
    </xdr:to>
    <xdr:sp macro="" textlink="">
      <xdr:nvSpPr>
        <xdr:cNvPr id="4" name="TM407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SpPr>
          <a:spLocks noChangeArrowheads="1" noChangeShapeType="1" noTextEdit="1"/>
        </xdr:cNvSpPr>
      </xdr:nvSpPr>
      <xdr:spPr bwMode="auto">
        <a:xfrm rot="10800000">
          <a:off x="10972800" y="5492750"/>
          <a:ext cx="76200" cy="130175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  <a:headEnd/>
                <a:tailEnd/>
              </a:ln>
              <a:solidFill>
                <a:srgbClr val="FF0000"/>
              </a:solidFill>
              <a:effectLst/>
              <a:latin typeface="標楷體"/>
              <a:ea typeface="標楷體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  <a:headEnd/>
              <a:tailEnd/>
            </a:ln>
            <a:solidFill>
              <a:srgbClr val="FF0000"/>
            </a:solidFill>
            <a:effectLst/>
            <a:latin typeface="標楷體"/>
            <a:ea typeface="標楷體"/>
          </a:endParaRP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24</xdr:row>
      <xdr:rowOff>57150</xdr:rowOff>
    </xdr:from>
    <xdr:to>
      <xdr:col>9</xdr:col>
      <xdr:colOff>76200</xdr:colOff>
      <xdr:row>25</xdr:row>
      <xdr:rowOff>6350</xdr:rowOff>
    </xdr:to>
    <xdr:sp macro="" textlink="">
      <xdr:nvSpPr>
        <xdr:cNvPr id="2" name="TM407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>
          <a:spLocks noChangeArrowheads="1" noChangeShapeType="1" noTextEdit="1"/>
        </xdr:cNvSpPr>
      </xdr:nvSpPr>
      <xdr:spPr bwMode="auto">
        <a:xfrm rot="10800000">
          <a:off x="10972800" y="4400550"/>
          <a:ext cx="76200" cy="130175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  <a:headEnd/>
                <a:tailEnd/>
              </a:ln>
              <a:solidFill>
                <a:srgbClr val="FF0000"/>
              </a:solidFill>
              <a:effectLst/>
              <a:latin typeface="標楷體"/>
              <a:ea typeface="標楷體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  <a:headEnd/>
              <a:tailEnd/>
            </a:ln>
            <a:solidFill>
              <a:srgbClr val="FF0000"/>
            </a:solidFill>
            <a:effectLst/>
            <a:latin typeface="標楷體"/>
            <a:ea typeface="標楷體"/>
          </a:endParaRPr>
        </a:p>
      </xdr:txBody>
    </xdr:sp>
    <xdr:clientData/>
  </xdr:twoCellAnchor>
  <xdr:twoCellAnchor editAs="oneCell">
    <xdr:from>
      <xdr:col>9</xdr:col>
      <xdr:colOff>0</xdr:colOff>
      <xdr:row>25</xdr:row>
      <xdr:rowOff>57150</xdr:rowOff>
    </xdr:from>
    <xdr:to>
      <xdr:col>9</xdr:col>
      <xdr:colOff>76200</xdr:colOff>
      <xdr:row>26</xdr:row>
      <xdr:rowOff>6350</xdr:rowOff>
    </xdr:to>
    <xdr:sp macro="" textlink="">
      <xdr:nvSpPr>
        <xdr:cNvPr id="3" name="TM407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>
          <a:spLocks noChangeArrowheads="1" noChangeShapeType="1" noTextEdit="1"/>
        </xdr:cNvSpPr>
      </xdr:nvSpPr>
      <xdr:spPr bwMode="auto">
        <a:xfrm rot="10800000">
          <a:off x="10972800" y="4581525"/>
          <a:ext cx="76200" cy="130175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  <a:headEnd/>
                <a:tailEnd/>
              </a:ln>
              <a:solidFill>
                <a:srgbClr val="FF0000"/>
              </a:solidFill>
              <a:effectLst/>
              <a:latin typeface="標楷體"/>
              <a:ea typeface="標楷體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  <a:headEnd/>
              <a:tailEnd/>
            </a:ln>
            <a:solidFill>
              <a:srgbClr val="FF0000"/>
            </a:solidFill>
            <a:effectLst/>
            <a:latin typeface="標楷體"/>
            <a:ea typeface="標楷體"/>
          </a:endParaRPr>
        </a:p>
      </xdr:txBody>
    </xdr:sp>
    <xdr:clientData/>
  </xdr:twoCellAnchor>
  <xdr:twoCellAnchor editAs="oneCell">
    <xdr:from>
      <xdr:col>9</xdr:col>
      <xdr:colOff>0</xdr:colOff>
      <xdr:row>30</xdr:row>
      <xdr:rowOff>63500</xdr:rowOff>
    </xdr:from>
    <xdr:to>
      <xdr:col>9</xdr:col>
      <xdr:colOff>76200</xdr:colOff>
      <xdr:row>30</xdr:row>
      <xdr:rowOff>193675</xdr:rowOff>
    </xdr:to>
    <xdr:sp macro="" textlink="">
      <xdr:nvSpPr>
        <xdr:cNvPr id="4" name="TM407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SpPr>
          <a:spLocks noChangeArrowheads="1" noChangeShapeType="1" noTextEdit="1"/>
        </xdr:cNvSpPr>
      </xdr:nvSpPr>
      <xdr:spPr bwMode="auto">
        <a:xfrm rot="10800000">
          <a:off x="10972800" y="5492750"/>
          <a:ext cx="76200" cy="130175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  <a:headEnd/>
                <a:tailEnd/>
              </a:ln>
              <a:solidFill>
                <a:srgbClr val="FF0000"/>
              </a:solidFill>
              <a:effectLst/>
              <a:latin typeface="標楷體"/>
              <a:ea typeface="標楷體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  <a:headEnd/>
              <a:tailEnd/>
            </a:ln>
            <a:solidFill>
              <a:srgbClr val="FF0000"/>
            </a:solidFill>
            <a:effectLst/>
            <a:latin typeface="標楷體"/>
            <a:ea typeface="標楷體"/>
          </a:endParaRP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24</xdr:row>
      <xdr:rowOff>57150</xdr:rowOff>
    </xdr:from>
    <xdr:to>
      <xdr:col>9</xdr:col>
      <xdr:colOff>76200</xdr:colOff>
      <xdr:row>25</xdr:row>
      <xdr:rowOff>6350</xdr:rowOff>
    </xdr:to>
    <xdr:sp macro="" textlink="">
      <xdr:nvSpPr>
        <xdr:cNvPr id="2" name="TM407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>
          <a:spLocks noChangeArrowheads="1" noChangeShapeType="1" noTextEdit="1"/>
        </xdr:cNvSpPr>
      </xdr:nvSpPr>
      <xdr:spPr bwMode="auto">
        <a:xfrm rot="10800000">
          <a:off x="10229850" y="4400550"/>
          <a:ext cx="76200" cy="130175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  <a:headEnd/>
                <a:tailEnd/>
              </a:ln>
              <a:solidFill>
                <a:srgbClr val="FF0000"/>
              </a:solidFill>
              <a:effectLst/>
              <a:latin typeface="標楷體"/>
              <a:ea typeface="標楷體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  <a:headEnd/>
              <a:tailEnd/>
            </a:ln>
            <a:solidFill>
              <a:srgbClr val="FF0000"/>
            </a:solidFill>
            <a:effectLst/>
            <a:latin typeface="標楷體"/>
            <a:ea typeface="標楷體"/>
          </a:endParaRPr>
        </a:p>
      </xdr:txBody>
    </xdr:sp>
    <xdr:clientData/>
  </xdr:twoCellAnchor>
  <xdr:twoCellAnchor editAs="oneCell">
    <xdr:from>
      <xdr:col>9</xdr:col>
      <xdr:colOff>0</xdr:colOff>
      <xdr:row>25</xdr:row>
      <xdr:rowOff>57150</xdr:rowOff>
    </xdr:from>
    <xdr:to>
      <xdr:col>9</xdr:col>
      <xdr:colOff>76200</xdr:colOff>
      <xdr:row>26</xdr:row>
      <xdr:rowOff>6350</xdr:rowOff>
    </xdr:to>
    <xdr:sp macro="" textlink="">
      <xdr:nvSpPr>
        <xdr:cNvPr id="3" name="TM407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>
          <a:spLocks noChangeArrowheads="1" noChangeShapeType="1" noTextEdit="1"/>
        </xdr:cNvSpPr>
      </xdr:nvSpPr>
      <xdr:spPr bwMode="auto">
        <a:xfrm rot="10800000">
          <a:off x="10229850" y="4581525"/>
          <a:ext cx="76200" cy="130175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  <a:headEnd/>
                <a:tailEnd/>
              </a:ln>
              <a:solidFill>
                <a:srgbClr val="FF0000"/>
              </a:solidFill>
              <a:effectLst/>
              <a:latin typeface="標楷體"/>
              <a:ea typeface="標楷體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  <a:headEnd/>
              <a:tailEnd/>
            </a:ln>
            <a:solidFill>
              <a:srgbClr val="FF0000"/>
            </a:solidFill>
            <a:effectLst/>
            <a:latin typeface="標楷體"/>
            <a:ea typeface="標楷體"/>
          </a:endParaRPr>
        </a:p>
      </xdr:txBody>
    </xdr:sp>
    <xdr:clientData/>
  </xdr:twoCellAnchor>
  <xdr:twoCellAnchor editAs="oneCell">
    <xdr:from>
      <xdr:col>9</xdr:col>
      <xdr:colOff>0</xdr:colOff>
      <xdr:row>30</xdr:row>
      <xdr:rowOff>63500</xdr:rowOff>
    </xdr:from>
    <xdr:to>
      <xdr:col>9</xdr:col>
      <xdr:colOff>76200</xdr:colOff>
      <xdr:row>30</xdr:row>
      <xdr:rowOff>193675</xdr:rowOff>
    </xdr:to>
    <xdr:sp macro="" textlink="">
      <xdr:nvSpPr>
        <xdr:cNvPr id="4" name="TM407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SpPr>
          <a:spLocks noChangeArrowheads="1" noChangeShapeType="1" noTextEdit="1"/>
        </xdr:cNvSpPr>
      </xdr:nvSpPr>
      <xdr:spPr bwMode="auto">
        <a:xfrm rot="10800000">
          <a:off x="10229850" y="5492750"/>
          <a:ext cx="76200" cy="130175"/>
        </a:xfrm>
        <a:prstGeom prst="rect">
          <a:avLst/>
        </a:prstGeom>
      </xdr:spPr>
      <xdr:txBody>
        <a:bodyPr wrap="none" fromWordArt="1">
          <a:prstTxWarp prst="textFadeRight">
            <a:avLst>
              <a:gd name="adj" fmla="val 33333"/>
            </a:avLst>
          </a:prstTxWarp>
        </a:bodyPr>
        <a:lstStyle/>
        <a:p>
          <a:pPr algn="ctr" rtl="0"/>
          <a:r>
            <a:rPr lang="en-US" altLang="zh-TW" sz="3600" b="1" i="1" kern="10" spc="0">
              <a:ln w="9525">
                <a:solidFill>
                  <a:srgbClr val="FF0000"/>
                </a:solidFill>
                <a:round/>
                <a:headEnd/>
                <a:tailEnd/>
              </a:ln>
              <a:solidFill>
                <a:srgbClr val="FF0000"/>
              </a:solidFill>
              <a:effectLst/>
              <a:latin typeface="標楷體"/>
              <a:ea typeface="標楷體"/>
            </a:rPr>
            <a:t>′</a:t>
          </a:r>
          <a:endParaRPr lang="zh-TW" altLang="en-US" sz="3600" b="1" i="1" kern="10" spc="0">
            <a:ln w="9525">
              <a:solidFill>
                <a:srgbClr val="FF0000"/>
              </a:solidFill>
              <a:round/>
              <a:headEnd/>
              <a:tailEnd/>
            </a:ln>
            <a:solidFill>
              <a:srgbClr val="FF0000"/>
            </a:solidFill>
            <a:effectLst/>
            <a:latin typeface="標楷體"/>
            <a:ea typeface="標楷體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3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1">
    <pageSetUpPr fitToPage="1"/>
  </sheetPr>
  <dimension ref="A1:J61"/>
  <sheetViews>
    <sheetView zoomScale="120" zoomScaleNormal="120" zoomScaleSheetLayoutView="100" workbookViewId="0">
      <pane ySplit="2" topLeftCell="A30" activePane="bottomLeft" state="frozen"/>
      <selection activeCell="A30" sqref="A30"/>
      <selection pane="bottomLeft" activeCell="F37" sqref="F37"/>
    </sheetView>
  </sheetViews>
  <sheetFormatPr defaultColWidth="31.28515625" defaultRowHeight="13.5"/>
  <cols>
    <col min="1" max="1" width="34" style="104" customWidth="1"/>
    <col min="2" max="2" width="23.140625" style="102" bestFit="1" customWidth="1"/>
    <col min="3" max="3" width="8.7109375" style="103" bestFit="1" customWidth="1"/>
    <col min="4" max="4" width="2.5703125" style="103" customWidth="1"/>
    <col min="5" max="5" width="32.28515625" style="104" customWidth="1"/>
    <col min="6" max="6" width="13" style="105" bestFit="1" customWidth="1"/>
    <col min="7" max="7" width="1" style="105" customWidth="1"/>
    <col min="8" max="8" width="36.85546875" style="104" customWidth="1"/>
    <col min="9" max="9" width="15.5703125" style="106" bestFit="1" customWidth="1"/>
    <col min="10" max="10" width="31.28515625" style="107"/>
    <col min="11" max="16384" width="31.28515625" style="104"/>
  </cols>
  <sheetData>
    <row r="1" spans="1:9">
      <c r="A1" s="102" t="s">
        <v>21</v>
      </c>
    </row>
    <row r="2" spans="1:9">
      <c r="A2" s="108" t="s">
        <v>297</v>
      </c>
      <c r="I2" s="109" t="s">
        <v>0</v>
      </c>
    </row>
    <row r="3" spans="1:9">
      <c r="A3" s="110" t="s">
        <v>22</v>
      </c>
      <c r="B3" s="111" t="s">
        <v>1</v>
      </c>
      <c r="C3" s="112">
        <f>F3/F4</f>
        <v>0.5928708515652209</v>
      </c>
      <c r="D3" s="113"/>
      <c r="E3" s="114" t="s">
        <v>23</v>
      </c>
      <c r="F3" s="115">
        <v>18789914</v>
      </c>
      <c r="G3" s="116"/>
      <c r="H3" s="117" t="s">
        <v>24</v>
      </c>
      <c r="I3" s="118">
        <v>21777832</v>
      </c>
    </row>
    <row r="4" spans="1:9">
      <c r="A4" s="119" t="s">
        <v>102</v>
      </c>
      <c r="B4" s="120" t="s">
        <v>100</v>
      </c>
      <c r="C4" s="121">
        <f>SUM(F5:F6)/F7</f>
        <v>1.3800032294203066</v>
      </c>
      <c r="D4" s="122"/>
      <c r="E4" s="119" t="s">
        <v>25</v>
      </c>
      <c r="F4" s="118">
        <v>31693098</v>
      </c>
      <c r="G4" s="123"/>
      <c r="H4" s="124" t="s">
        <v>26</v>
      </c>
      <c r="I4" s="118">
        <v>0</v>
      </c>
    </row>
    <row r="5" spans="1:9">
      <c r="A5" s="125" t="s">
        <v>27</v>
      </c>
      <c r="B5" s="126" t="s">
        <v>2</v>
      </c>
      <c r="C5" s="127">
        <f>F9/F10</f>
        <v>0.99889610694350373</v>
      </c>
      <c r="D5" s="122"/>
      <c r="E5" s="119" t="s">
        <v>104</v>
      </c>
      <c r="F5" s="118">
        <v>12903184</v>
      </c>
      <c r="G5" s="123"/>
      <c r="H5" s="124" t="s">
        <v>112</v>
      </c>
      <c r="I5" s="118">
        <f>20156721-14597047-404573-85231</f>
        <v>5069870</v>
      </c>
    </row>
    <row r="6" spans="1:9">
      <c r="A6" s="119" t="s">
        <v>28</v>
      </c>
      <c r="B6" s="120" t="s">
        <v>14</v>
      </c>
      <c r="C6" s="121">
        <f>(F9-F11-I38)/F10</f>
        <v>0.56834344001442183</v>
      </c>
      <c r="D6" s="122"/>
      <c r="E6" s="119" t="s">
        <v>101</v>
      </c>
      <c r="F6" s="118">
        <v>7240788</v>
      </c>
      <c r="G6" s="123"/>
      <c r="H6" s="124" t="s">
        <v>29</v>
      </c>
      <c r="I6" s="118">
        <f>F9-F10</f>
        <v>-12749</v>
      </c>
    </row>
    <row r="7" spans="1:9">
      <c r="A7" s="119" t="s">
        <v>30</v>
      </c>
      <c r="B7" s="120" t="s">
        <v>3</v>
      </c>
      <c r="C7" s="128">
        <f>F13/F14</f>
        <v>4.463536546320884</v>
      </c>
      <c r="D7" s="129"/>
      <c r="E7" s="119" t="s">
        <v>109</v>
      </c>
      <c r="F7" s="118">
        <v>14597047</v>
      </c>
      <c r="G7" s="123"/>
      <c r="H7" s="124" t="s">
        <v>31</v>
      </c>
      <c r="I7" s="118">
        <f>I47</f>
        <v>9027591</v>
      </c>
    </row>
    <row r="8" spans="1:9">
      <c r="A8" s="125" t="s">
        <v>32</v>
      </c>
      <c r="B8" s="126" t="s">
        <v>18</v>
      </c>
      <c r="C8" s="130">
        <f>(F13+I39+I40)/F14</f>
        <v>11.720643350848448</v>
      </c>
      <c r="D8" s="129"/>
      <c r="E8" s="119" t="s">
        <v>121</v>
      </c>
      <c r="F8" s="118">
        <v>704739</v>
      </c>
      <c r="G8" s="123"/>
      <c r="H8" s="124"/>
      <c r="I8" s="131"/>
    </row>
    <row r="9" spans="1:9">
      <c r="A9" s="119" t="s">
        <v>33</v>
      </c>
      <c r="B9" s="132" t="s">
        <v>180</v>
      </c>
      <c r="C9" s="133">
        <f>F18*4/3/(SUM(I12:I15)/2)</f>
        <v>4.8609093348360037</v>
      </c>
      <c r="D9" s="134"/>
      <c r="E9" s="119" t="s">
        <v>34</v>
      </c>
      <c r="F9" s="118">
        <v>11536377</v>
      </c>
      <c r="G9" s="123"/>
      <c r="H9" s="124" t="s">
        <v>35</v>
      </c>
      <c r="I9" s="118">
        <v>1124677</v>
      </c>
    </row>
    <row r="10" spans="1:9">
      <c r="A10" s="135" t="s">
        <v>36</v>
      </c>
      <c r="B10" s="120" t="s">
        <v>129</v>
      </c>
      <c r="C10" s="128">
        <f>365/C9</f>
        <v>75.08883109261167</v>
      </c>
      <c r="D10" s="136"/>
      <c r="E10" s="137" t="s">
        <v>37</v>
      </c>
      <c r="F10" s="118">
        <v>11549126</v>
      </c>
      <c r="G10" s="123"/>
      <c r="H10" s="124" t="s">
        <v>38</v>
      </c>
      <c r="I10" s="118">
        <f>F14</f>
        <v>265485</v>
      </c>
    </row>
    <row r="11" spans="1:9">
      <c r="A11" s="135" t="s">
        <v>39</v>
      </c>
      <c r="B11" s="132" t="s">
        <v>301</v>
      </c>
      <c r="C11" s="128">
        <f>I18*4/3/(SUM(I16+I17)/2)</f>
        <v>2.2698724654638101</v>
      </c>
      <c r="D11" s="129"/>
      <c r="E11" s="119" t="s">
        <v>40</v>
      </c>
      <c r="F11" s="118">
        <v>4843702</v>
      </c>
      <c r="G11" s="123"/>
      <c r="H11" s="124" t="s">
        <v>41</v>
      </c>
      <c r="I11" s="118">
        <f>F13-F14</f>
        <v>919517</v>
      </c>
    </row>
    <row r="12" spans="1:9">
      <c r="A12" s="119" t="s">
        <v>42</v>
      </c>
      <c r="B12" s="138" t="s">
        <v>302</v>
      </c>
      <c r="C12" s="139">
        <f>I18*4/3/(SUM(I27:I30)/2)</f>
        <v>4.6375407722962612</v>
      </c>
      <c r="D12" s="140"/>
      <c r="E12" s="119" t="s">
        <v>88</v>
      </c>
      <c r="F12" s="118">
        <v>417472</v>
      </c>
      <c r="G12" s="123"/>
      <c r="H12" s="124" t="s">
        <v>43</v>
      </c>
      <c r="I12" s="118">
        <v>196952</v>
      </c>
    </row>
    <row r="13" spans="1:9">
      <c r="A13" s="119" t="s">
        <v>44</v>
      </c>
      <c r="B13" s="141" t="s">
        <v>4</v>
      </c>
      <c r="C13" s="128">
        <f>365/C11</f>
        <v>160.80198581792058</v>
      </c>
      <c r="D13" s="136"/>
      <c r="E13" s="135" t="s">
        <v>87</v>
      </c>
      <c r="F13" s="118">
        <v>1185002</v>
      </c>
      <c r="G13" s="123"/>
      <c r="H13" s="142" t="s">
        <v>45</v>
      </c>
      <c r="I13" s="118">
        <v>3206675</v>
      </c>
    </row>
    <row r="14" spans="1:9">
      <c r="A14" s="119" t="s">
        <v>103</v>
      </c>
      <c r="B14" s="143" t="s">
        <v>303</v>
      </c>
      <c r="C14" s="128">
        <f>F18*4/3/I23</f>
        <v>1.1321762030686919</v>
      </c>
      <c r="D14" s="129"/>
      <c r="E14" s="135" t="s">
        <v>46</v>
      </c>
      <c r="F14" s="118">
        <v>265485</v>
      </c>
      <c r="G14" s="123"/>
      <c r="H14" s="142" t="s">
        <v>47</v>
      </c>
      <c r="I14" s="118">
        <v>129849</v>
      </c>
    </row>
    <row r="15" spans="1:9">
      <c r="A15" s="119" t="s">
        <v>48</v>
      </c>
      <c r="B15" s="144" t="s">
        <v>304</v>
      </c>
      <c r="C15" s="128">
        <f>F18*4/3/F16</f>
        <v>0.52002718052051289</v>
      </c>
      <c r="D15" s="129"/>
      <c r="E15" s="119" t="s">
        <v>49</v>
      </c>
      <c r="F15" s="118">
        <v>700156</v>
      </c>
      <c r="G15" s="123"/>
      <c r="H15" s="142" t="s">
        <v>50</v>
      </c>
      <c r="I15" s="118">
        <v>3092950</v>
      </c>
    </row>
    <row r="16" spans="1:9">
      <c r="A16" s="135" t="s">
        <v>51</v>
      </c>
      <c r="B16" s="144" t="s">
        <v>305</v>
      </c>
      <c r="C16" s="121">
        <f>(F15+I10*0.8)*4/3/F16</f>
        <v>3.9287257812259134E-2</v>
      </c>
      <c r="D16" s="122"/>
      <c r="E16" s="119" t="s">
        <v>52</v>
      </c>
      <c r="F16" s="118">
        <f>(F4+I22)/2</f>
        <v>30969973.5</v>
      </c>
      <c r="G16" s="123"/>
      <c r="H16" s="124" t="s">
        <v>53</v>
      </c>
      <c r="I16" s="118">
        <v>5179490</v>
      </c>
    </row>
    <row r="17" spans="1:9">
      <c r="A17" s="119" t="s">
        <v>54</v>
      </c>
      <c r="B17" s="144" t="s">
        <v>306</v>
      </c>
      <c r="C17" s="121">
        <f>F15*4/3/F17</f>
        <v>7.2988987034597233E-2</v>
      </c>
      <c r="D17" s="122"/>
      <c r="E17" s="119" t="s">
        <v>55</v>
      </c>
      <c r="F17" s="118">
        <f>(F5+I21)/2</f>
        <v>12790167</v>
      </c>
      <c r="G17" s="123"/>
      <c r="H17" s="145" t="s">
        <v>56</v>
      </c>
      <c r="I17" s="118">
        <v>5425376</v>
      </c>
    </row>
    <row r="18" spans="1:9">
      <c r="A18" s="119" t="s">
        <v>57</v>
      </c>
      <c r="B18" s="141" t="s">
        <v>84</v>
      </c>
      <c r="C18" s="121">
        <f>I9/I19</f>
        <v>0.67826644409117554</v>
      </c>
      <c r="D18" s="122"/>
      <c r="E18" s="119" t="s">
        <v>58</v>
      </c>
      <c r="F18" s="118">
        <v>12078921</v>
      </c>
      <c r="G18" s="123"/>
      <c r="H18" s="124" t="s">
        <v>59</v>
      </c>
      <c r="I18" s="118">
        <v>9026885</v>
      </c>
    </row>
    <row r="19" spans="1:9">
      <c r="A19" s="119" t="s">
        <v>60</v>
      </c>
      <c r="B19" s="141" t="s">
        <v>85</v>
      </c>
      <c r="C19" s="121">
        <f>I11/I19</f>
        <v>0.55453923737338406</v>
      </c>
      <c r="D19" s="122"/>
      <c r="E19" s="119" t="s">
        <v>61</v>
      </c>
      <c r="F19" s="118">
        <v>165816</v>
      </c>
      <c r="G19" s="123"/>
      <c r="H19" s="124" t="s">
        <v>62</v>
      </c>
      <c r="I19" s="118">
        <v>1658164</v>
      </c>
    </row>
    <row r="20" spans="1:9">
      <c r="A20" s="119" t="s">
        <v>63</v>
      </c>
      <c r="B20" s="146" t="s">
        <v>5</v>
      </c>
      <c r="C20" s="121">
        <f>F15/F18</f>
        <v>5.7965111287672136E-2</v>
      </c>
      <c r="D20" s="122"/>
      <c r="E20" s="119" t="s">
        <v>64</v>
      </c>
      <c r="F20" s="118">
        <v>2673362</v>
      </c>
      <c r="G20" s="123"/>
      <c r="H20" s="124" t="s">
        <v>105</v>
      </c>
      <c r="I20" s="118">
        <v>13852991</v>
      </c>
    </row>
    <row r="21" spans="1:9">
      <c r="A21" s="135" t="s">
        <v>65</v>
      </c>
      <c r="B21" s="120" t="s">
        <v>6</v>
      </c>
      <c r="C21" s="128">
        <f>F8/F19</f>
        <v>4.2501266464032419</v>
      </c>
      <c r="D21" s="129"/>
      <c r="E21" s="119" t="s">
        <v>66</v>
      </c>
      <c r="F21" s="118">
        <f>SUM(F22:F26)</f>
        <v>14845468</v>
      </c>
      <c r="G21" s="123"/>
      <c r="H21" s="124" t="s">
        <v>106</v>
      </c>
      <c r="I21" s="118">
        <v>12677150</v>
      </c>
    </row>
    <row r="22" spans="1:9">
      <c r="A22" s="119" t="s">
        <v>67</v>
      </c>
      <c r="B22" s="144" t="s">
        <v>307</v>
      </c>
      <c r="C22" s="121">
        <f>F20*4/3/F10</f>
        <v>0.30863657272997685</v>
      </c>
      <c r="D22" s="122"/>
      <c r="E22" s="137" t="s">
        <v>190</v>
      </c>
      <c r="F22" s="118">
        <v>3588212</v>
      </c>
      <c r="G22" s="123"/>
      <c r="H22" s="124" t="s">
        <v>68</v>
      </c>
      <c r="I22" s="118">
        <v>30246849</v>
      </c>
    </row>
    <row r="23" spans="1:9">
      <c r="A23" s="119" t="s">
        <v>69</v>
      </c>
      <c r="B23" s="120" t="s">
        <v>7</v>
      </c>
      <c r="C23" s="121">
        <f>F21/F27</f>
        <v>1.7608832677357285</v>
      </c>
      <c r="D23" s="122"/>
      <c r="E23" s="137" t="s">
        <v>287</v>
      </c>
      <c r="F23" s="118">
        <v>2887592</v>
      </c>
      <c r="G23" s="123"/>
      <c r="H23" s="124" t="s">
        <v>110</v>
      </c>
      <c r="I23" s="118">
        <f>(F7+I20)/2</f>
        <v>14225019</v>
      </c>
    </row>
    <row r="24" spans="1:9">
      <c r="A24" s="119" t="s">
        <v>70</v>
      </c>
      <c r="B24" s="120" t="s">
        <v>86</v>
      </c>
      <c r="C24" s="121">
        <f>(F20-I24)/SUM(I3:I6)</f>
        <v>8.4174583797482341E-2</v>
      </c>
      <c r="D24" s="122"/>
      <c r="E24" s="137" t="s">
        <v>288</v>
      </c>
      <c r="F24" s="118">
        <v>2775443</v>
      </c>
      <c r="G24" s="123"/>
      <c r="H24" s="124" t="s">
        <v>71</v>
      </c>
      <c r="I24" s="118">
        <f>F42</f>
        <v>414541</v>
      </c>
    </row>
    <row r="25" spans="1:9">
      <c r="A25" s="119" t="s">
        <v>296</v>
      </c>
      <c r="B25" s="120" t="s">
        <v>114</v>
      </c>
      <c r="C25" s="128">
        <f>(F18-I7)/I9</f>
        <v>2.7130722865320442</v>
      </c>
      <c r="D25" s="129"/>
      <c r="E25" s="137" t="s">
        <v>289</v>
      </c>
      <c r="F25" s="118">
        <v>2920859</v>
      </c>
      <c r="G25" s="123"/>
      <c r="H25" s="124" t="s">
        <v>73</v>
      </c>
      <c r="I25" s="118">
        <v>592933</v>
      </c>
    </row>
    <row r="26" spans="1:9">
      <c r="A26" s="119" t="s">
        <v>72</v>
      </c>
      <c r="B26" s="120" t="s">
        <v>8</v>
      </c>
      <c r="C26" s="128">
        <f>I9/(I9-I10)</f>
        <v>1.3089937988249425</v>
      </c>
      <c r="D26" s="129"/>
      <c r="E26" s="137" t="s">
        <v>298</v>
      </c>
      <c r="F26" s="118">
        <f>F20</f>
        <v>2673362</v>
      </c>
      <c r="G26" s="123"/>
      <c r="H26" s="124" t="s">
        <v>75</v>
      </c>
      <c r="I26" s="118">
        <v>0</v>
      </c>
    </row>
    <row r="27" spans="1:9">
      <c r="A27" s="119"/>
      <c r="B27" s="120"/>
      <c r="C27" s="147"/>
      <c r="D27" s="148"/>
      <c r="E27" s="135" t="s">
        <v>76</v>
      </c>
      <c r="F27" s="118">
        <f>SUM(F28:F42)</f>
        <v>8430694</v>
      </c>
      <c r="G27" s="123"/>
      <c r="H27" s="124" t="s">
        <v>77</v>
      </c>
      <c r="I27" s="118">
        <v>1320373</v>
      </c>
    </row>
    <row r="28" spans="1:9">
      <c r="A28" s="119"/>
      <c r="B28" s="120"/>
      <c r="C28" s="147"/>
      <c r="D28" s="148"/>
      <c r="E28" s="137" t="s">
        <v>290</v>
      </c>
      <c r="F28" s="118">
        <v>702419</v>
      </c>
      <c r="G28" s="150"/>
      <c r="H28" s="124" t="s">
        <v>78</v>
      </c>
      <c r="I28" s="118">
        <v>1356533</v>
      </c>
    </row>
    <row r="29" spans="1:9">
      <c r="A29" s="119"/>
      <c r="B29" s="120"/>
      <c r="C29" s="147"/>
      <c r="D29" s="148"/>
      <c r="E29" s="137" t="s">
        <v>287</v>
      </c>
      <c r="F29" s="118">
        <v>544554</v>
      </c>
      <c r="G29" s="123"/>
      <c r="H29" s="124" t="s">
        <v>79</v>
      </c>
      <c r="I29" s="118">
        <v>1285695</v>
      </c>
    </row>
    <row r="30" spans="1:9">
      <c r="A30" s="119"/>
      <c r="B30" s="120"/>
      <c r="C30" s="147"/>
      <c r="D30" s="148"/>
      <c r="E30" s="137" t="s">
        <v>288</v>
      </c>
      <c r="F30" s="118">
        <v>1007640</v>
      </c>
      <c r="G30" s="123"/>
      <c r="H30" s="124" t="s">
        <v>80</v>
      </c>
      <c r="I30" s="118">
        <v>1228015</v>
      </c>
    </row>
    <row r="31" spans="1:9">
      <c r="A31" s="285" t="s">
        <v>9</v>
      </c>
      <c r="B31" s="286"/>
      <c r="C31" s="287"/>
      <c r="D31" s="151"/>
      <c r="E31" s="137" t="s">
        <v>291</v>
      </c>
      <c r="F31" s="118">
        <v>1054958</v>
      </c>
      <c r="G31" s="123"/>
      <c r="H31" s="145"/>
      <c r="I31" s="152"/>
    </row>
    <row r="32" spans="1:9">
      <c r="A32" s="153" t="s">
        <v>10</v>
      </c>
      <c r="B32" s="141"/>
      <c r="C32" s="154"/>
      <c r="D32" s="122"/>
      <c r="E32" s="137" t="s">
        <v>308</v>
      </c>
      <c r="F32" s="118">
        <f>I25+I26</f>
        <v>592933</v>
      </c>
      <c r="G32" s="150"/>
      <c r="H32" s="145"/>
      <c r="I32" s="152"/>
    </row>
    <row r="33" spans="1:9">
      <c r="A33" s="155" t="s">
        <v>11</v>
      </c>
      <c r="B33" s="156"/>
      <c r="C33" s="154"/>
      <c r="D33" s="122"/>
      <c r="E33" s="137" t="s">
        <v>292</v>
      </c>
      <c r="F33" s="118">
        <v>126388</v>
      </c>
      <c r="G33" s="123"/>
      <c r="H33" s="145"/>
      <c r="I33" s="152"/>
    </row>
    <row r="34" spans="1:9">
      <c r="A34" s="157" t="s">
        <v>12</v>
      </c>
      <c r="B34" s="156"/>
      <c r="C34" s="154"/>
      <c r="D34" s="122"/>
      <c r="E34" s="137" t="s">
        <v>287</v>
      </c>
      <c r="F34" s="118">
        <v>692977</v>
      </c>
      <c r="G34" s="123"/>
      <c r="H34" s="145"/>
      <c r="I34" s="158"/>
    </row>
    <row r="35" spans="1:9">
      <c r="A35" s="159" t="s">
        <v>13</v>
      </c>
      <c r="B35" s="141"/>
      <c r="C35" s="154"/>
      <c r="D35" s="122"/>
      <c r="E35" s="137" t="s">
        <v>288</v>
      </c>
      <c r="F35" s="118">
        <v>109336</v>
      </c>
      <c r="G35" s="123"/>
      <c r="H35" s="145"/>
      <c r="I35" s="158"/>
    </row>
    <row r="36" spans="1:9">
      <c r="A36" s="119"/>
      <c r="B36" s="141"/>
      <c r="C36" s="154"/>
      <c r="D36" s="122"/>
      <c r="E36" s="137" t="s">
        <v>293</v>
      </c>
      <c r="F36" s="118">
        <v>621563</v>
      </c>
      <c r="G36" s="123"/>
      <c r="H36" s="145" t="s">
        <v>81</v>
      </c>
      <c r="I36" s="160">
        <f>SUM(I32:I35)</f>
        <v>0</v>
      </c>
    </row>
    <row r="37" spans="1:9">
      <c r="A37" s="119"/>
      <c r="B37" s="141"/>
      <c r="C37" s="154"/>
      <c r="D37" s="122"/>
      <c r="E37" s="137" t="s">
        <v>299</v>
      </c>
      <c r="F37" s="118">
        <v>241955</v>
      </c>
      <c r="G37" s="123"/>
      <c r="H37" s="124"/>
      <c r="I37" s="158"/>
    </row>
    <row r="38" spans="1:9">
      <c r="A38" s="119"/>
      <c r="B38" s="141"/>
      <c r="C38" s="154"/>
      <c r="D38" s="122"/>
      <c r="E38" s="137" t="s">
        <v>294</v>
      </c>
      <c r="F38" s="118">
        <v>663266</v>
      </c>
      <c r="G38" s="161"/>
      <c r="H38" s="124" t="s">
        <v>82</v>
      </c>
      <c r="I38" s="149">
        <v>128805</v>
      </c>
    </row>
    <row r="39" spans="1:9">
      <c r="A39" s="119"/>
      <c r="B39" s="141"/>
      <c r="C39" s="154"/>
      <c r="D39" s="122"/>
      <c r="E39" s="137" t="s">
        <v>287</v>
      </c>
      <c r="F39" s="118">
        <v>746174</v>
      </c>
      <c r="G39" s="150"/>
      <c r="H39" s="124" t="s">
        <v>120</v>
      </c>
      <c r="I39" s="149">
        <f>1854760+52823</f>
        <v>1907583</v>
      </c>
    </row>
    <row r="40" spans="1:9">
      <c r="A40" s="119"/>
      <c r="B40" s="141"/>
      <c r="C40" s="154"/>
      <c r="D40" s="122"/>
      <c r="E40" s="137" t="s">
        <v>288</v>
      </c>
      <c r="F40" s="118">
        <v>414541</v>
      </c>
      <c r="G40" s="150"/>
      <c r="H40" s="124" t="s">
        <v>17</v>
      </c>
      <c r="I40" s="149">
        <f>1170+17900</f>
        <v>19070</v>
      </c>
    </row>
    <row r="41" spans="1:9">
      <c r="A41" s="119"/>
      <c r="B41" s="141"/>
      <c r="C41" s="154"/>
      <c r="D41" s="122"/>
      <c r="E41" s="137" t="s">
        <v>295</v>
      </c>
      <c r="F41" s="118">
        <v>497449</v>
      </c>
      <c r="G41" s="162"/>
      <c r="H41" s="163"/>
      <c r="I41" s="164"/>
    </row>
    <row r="42" spans="1:9">
      <c r="A42" s="165"/>
      <c r="B42" s="166"/>
      <c r="C42" s="167"/>
      <c r="D42" s="168"/>
      <c r="E42" s="166" t="s">
        <v>300</v>
      </c>
      <c r="F42" s="118">
        <v>414541</v>
      </c>
      <c r="G42" s="169"/>
    </row>
    <row r="43" spans="1:9">
      <c r="F43" s="106"/>
      <c r="G43" s="106"/>
      <c r="H43" s="104" t="s">
        <v>115</v>
      </c>
    </row>
    <row r="44" spans="1:9">
      <c r="E44" s="170"/>
      <c r="F44" s="106"/>
      <c r="G44" s="106"/>
      <c r="H44" s="104" t="s">
        <v>116</v>
      </c>
      <c r="I44" s="171">
        <f>I18</f>
        <v>9026885</v>
      </c>
    </row>
    <row r="45" spans="1:9">
      <c r="E45" s="170"/>
      <c r="F45" s="106"/>
      <c r="G45" s="106"/>
      <c r="H45" s="104" t="s">
        <v>117</v>
      </c>
      <c r="I45" s="171">
        <v>1927359</v>
      </c>
    </row>
    <row r="46" spans="1:9">
      <c r="E46" s="170"/>
      <c r="F46" s="106"/>
      <c r="G46" s="106"/>
      <c r="H46" s="104" t="s">
        <v>118</v>
      </c>
      <c r="I46" s="171">
        <f>I39+I40</f>
        <v>1926653</v>
      </c>
    </row>
    <row r="47" spans="1:9" ht="14.25" thickBot="1">
      <c r="E47" s="170"/>
      <c r="F47" s="106"/>
      <c r="G47" s="106"/>
      <c r="H47" s="104" t="s">
        <v>119</v>
      </c>
      <c r="I47" s="172">
        <f>I44+I45-I46</f>
        <v>9027591</v>
      </c>
    </row>
    <row r="48" spans="1:9" ht="14.25" thickTop="1">
      <c r="E48" s="170"/>
      <c r="F48" s="106"/>
      <c r="G48" s="106"/>
    </row>
    <row r="59" spans="2:2">
      <c r="B59" s="173"/>
    </row>
    <row r="60" spans="2:2">
      <c r="B60" s="174"/>
    </row>
    <row r="61" spans="2:2">
      <c r="B61" s="173"/>
    </row>
  </sheetData>
  <autoFilter ref="H43:I47"/>
  <mergeCells count="1">
    <mergeCell ref="A31:C31"/>
  </mergeCells>
  <phoneticPr fontId="3" type="noConversion"/>
  <printOptions horizontalCentered="1"/>
  <pageMargins left="0.39370078740157483" right="0" top="1.1811023622047245" bottom="0.47244094488188981" header="0.59055118110236227" footer="0.15748031496062992"/>
  <pageSetup paperSize="9" scale="78" orientation="landscape" r:id="rId1"/>
  <headerFooter alignWithMargins="0">
    <oddHeader>&amp;L
帝寶101Q2財務比率(合併)&amp;RPreparer: DY 2012/8/17
Reviewer: KAY 2012/8/20 CH 2012/8/20 AMMY 2012/8/20
2320-2: &amp;P/&amp;N</oddHeader>
    <oddFooter>&amp;L帝寶工業股份有限公司 
Period End: 2012/6/30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2"/>
  <dimension ref="A1:N73"/>
  <sheetViews>
    <sheetView tabSelected="1" zoomScale="90" zoomScaleNormal="90" workbookViewId="0">
      <pane xSplit="2" ySplit="2" topLeftCell="G9" activePane="bottomRight" state="frozen"/>
      <selection pane="topRight" activeCell="C1" sqref="C1"/>
      <selection pane="bottomLeft" activeCell="A3" sqref="A3"/>
      <selection pane="bottomRight" activeCell="I18" sqref="I18"/>
    </sheetView>
  </sheetViews>
  <sheetFormatPr defaultColWidth="35.7109375" defaultRowHeight="13.5"/>
  <cols>
    <col min="1" max="1" width="24" style="104" customWidth="1"/>
    <col min="2" max="2" width="30.140625" style="102" customWidth="1"/>
    <col min="3" max="3" width="13.85546875" style="103" customWidth="1"/>
    <col min="4" max="4" width="4.85546875" style="103" customWidth="1"/>
    <col min="5" max="5" width="43.140625" style="104" customWidth="1"/>
    <col min="6" max="6" width="14.85546875" style="105" customWidth="1"/>
    <col min="7" max="7" width="1.140625" style="105" customWidth="1"/>
    <col min="8" max="8" width="29.28515625" style="104" customWidth="1"/>
    <col min="9" max="9" width="17.85546875" style="106" customWidth="1"/>
    <col min="10" max="10" width="35.7109375" style="107"/>
    <col min="11" max="16384" width="35.7109375" style="104"/>
  </cols>
  <sheetData>
    <row r="1" spans="1:11">
      <c r="A1" s="102" t="s">
        <v>21</v>
      </c>
    </row>
    <row r="2" spans="1:11">
      <c r="A2" s="108" t="s">
        <v>616</v>
      </c>
      <c r="H2" s="279" t="s">
        <v>603</v>
      </c>
      <c r="I2" s="109" t="s">
        <v>446</v>
      </c>
    </row>
    <row r="3" spans="1:11">
      <c r="A3" s="110" t="s">
        <v>22</v>
      </c>
      <c r="B3" s="111" t="s">
        <v>1</v>
      </c>
      <c r="C3" s="249">
        <f>F3/F4</f>
        <v>0.36886817684744783</v>
      </c>
      <c r="D3" s="113"/>
      <c r="E3" s="114" t="s">
        <v>23</v>
      </c>
      <c r="F3" s="250">
        <v>12358666</v>
      </c>
      <c r="G3" s="116"/>
      <c r="H3" s="117" t="s">
        <v>447</v>
      </c>
      <c r="I3" s="179">
        <v>22969217</v>
      </c>
    </row>
    <row r="4" spans="1:11">
      <c r="A4" s="119" t="s">
        <v>448</v>
      </c>
      <c r="B4" s="120" t="s">
        <v>201</v>
      </c>
      <c r="C4" s="252">
        <f>SUM(F5:F6)/F7</f>
        <v>1.5980442540035689</v>
      </c>
      <c r="D4" s="122"/>
      <c r="E4" s="119" t="s">
        <v>25</v>
      </c>
      <c r="F4" s="251">
        <v>33504289</v>
      </c>
      <c r="G4" s="123"/>
      <c r="H4" s="124" t="s">
        <v>26</v>
      </c>
      <c r="I4" s="179">
        <v>0</v>
      </c>
    </row>
    <row r="5" spans="1:11">
      <c r="A5" s="125" t="s">
        <v>27</v>
      </c>
      <c r="B5" s="126" t="s">
        <v>2</v>
      </c>
      <c r="C5" s="252">
        <f>F9/F10</f>
        <v>1.2982482843692751</v>
      </c>
      <c r="D5" s="122"/>
      <c r="E5" s="119" t="s">
        <v>449</v>
      </c>
      <c r="F5" s="251">
        <f>F4-F3</f>
        <v>21145623</v>
      </c>
      <c r="G5" s="123"/>
      <c r="H5" s="124" t="s">
        <v>450</v>
      </c>
      <c r="I5" s="179">
        <f>17963765-13475165-410245-377869-139942</f>
        <v>3560544</v>
      </c>
      <c r="J5" s="180"/>
      <c r="K5" s="265"/>
    </row>
    <row r="6" spans="1:11">
      <c r="A6" s="119" t="s">
        <v>28</v>
      </c>
      <c r="B6" s="120" t="s">
        <v>451</v>
      </c>
      <c r="C6" s="252">
        <f>(F9-F11-I38)/F10</f>
        <v>0.70076061810574253</v>
      </c>
      <c r="D6" s="122"/>
      <c r="E6" s="119" t="s">
        <v>452</v>
      </c>
      <c r="F6" s="251">
        <v>388287</v>
      </c>
      <c r="G6" s="123"/>
      <c r="H6" s="124" t="s">
        <v>29</v>
      </c>
      <c r="I6" s="251">
        <f>F9-F10</f>
        <v>3570145</v>
      </c>
      <c r="J6" s="180"/>
    </row>
    <row r="7" spans="1:11">
      <c r="A7" s="119" t="s">
        <v>453</v>
      </c>
      <c r="B7" s="120" t="s">
        <v>3</v>
      </c>
      <c r="C7" s="253">
        <f>F13/F14</f>
        <v>15.197794326135295</v>
      </c>
      <c r="D7" s="129"/>
      <c r="E7" s="119" t="s">
        <v>454</v>
      </c>
      <c r="F7" s="273">
        <v>13475165</v>
      </c>
      <c r="G7" s="123"/>
      <c r="H7" s="124" t="s">
        <v>31</v>
      </c>
      <c r="I7" s="251">
        <f>I47</f>
        <v>3325052</v>
      </c>
      <c r="J7" s="180"/>
    </row>
    <row r="8" spans="1:11">
      <c r="A8" s="125" t="s">
        <v>455</v>
      </c>
      <c r="B8" s="126" t="s">
        <v>18</v>
      </c>
      <c r="C8" s="130">
        <f>(F13+I39+I40)/F14</f>
        <v>23.28266352281037</v>
      </c>
      <c r="D8" s="129"/>
      <c r="E8" s="119" t="s">
        <v>457</v>
      </c>
      <c r="F8" s="276">
        <v>732007</v>
      </c>
      <c r="G8" s="123"/>
      <c r="H8" s="124"/>
      <c r="I8" s="131"/>
      <c r="J8" s="180"/>
      <c r="K8" s="265"/>
    </row>
    <row r="9" spans="1:11">
      <c r="A9" s="119" t="s">
        <v>458</v>
      </c>
      <c r="B9" s="132" t="s">
        <v>549</v>
      </c>
      <c r="C9" s="254">
        <f>F18*4/(SUM(I12:I15)/2)</f>
        <v>4.8233847552406219</v>
      </c>
      <c r="D9" s="134"/>
      <c r="E9" s="119" t="s">
        <v>460</v>
      </c>
      <c r="F9" s="251">
        <v>15540524</v>
      </c>
      <c r="G9" s="123"/>
      <c r="H9" s="124" t="s">
        <v>35</v>
      </c>
      <c r="I9" s="251">
        <v>866034</v>
      </c>
      <c r="J9" s="180"/>
      <c r="K9" s="265"/>
    </row>
    <row r="10" spans="1:11">
      <c r="A10" s="135" t="s">
        <v>461</v>
      </c>
      <c r="B10" s="120" t="s">
        <v>462</v>
      </c>
      <c r="C10" s="253">
        <f>365/C9</f>
        <v>75.673001123003175</v>
      </c>
      <c r="D10" s="136"/>
      <c r="E10" s="137" t="s">
        <v>463</v>
      </c>
      <c r="F10" s="251">
        <v>11970379</v>
      </c>
      <c r="G10" s="123"/>
      <c r="H10" s="124" t="s">
        <v>464</v>
      </c>
      <c r="I10" s="251">
        <v>67009</v>
      </c>
      <c r="J10" s="180"/>
    </row>
    <row r="11" spans="1:11">
      <c r="A11" s="135" t="s">
        <v>465</v>
      </c>
      <c r="B11" s="132" t="s">
        <v>550</v>
      </c>
      <c r="C11" s="253">
        <f>I18*4/(SUM(I16+I17)/2)</f>
        <v>1.5569468235759738</v>
      </c>
      <c r="D11" s="129"/>
      <c r="E11" s="119" t="s">
        <v>467</v>
      </c>
      <c r="F11" s="251">
        <v>7101725</v>
      </c>
      <c r="G11" s="123"/>
      <c r="H11" s="124" t="s">
        <v>41</v>
      </c>
      <c r="I11" s="251">
        <f>F13-F14</f>
        <v>951380</v>
      </c>
    </row>
    <row r="12" spans="1:11">
      <c r="A12" s="119" t="s">
        <v>468</v>
      </c>
      <c r="B12" s="177" t="s">
        <v>551</v>
      </c>
      <c r="C12" s="255">
        <f>I18*4/(SUM(I27:I30)/2)</f>
        <v>5.0660783555405491</v>
      </c>
      <c r="D12" s="140"/>
      <c r="E12" s="119" t="s">
        <v>470</v>
      </c>
      <c r="F12" s="251">
        <v>188903</v>
      </c>
      <c r="G12" s="123"/>
      <c r="H12" s="124" t="s">
        <v>471</v>
      </c>
      <c r="I12" s="251">
        <v>322942</v>
      </c>
      <c r="J12" s="180"/>
      <c r="K12" s="265"/>
    </row>
    <row r="13" spans="1:11">
      <c r="A13" s="119" t="s">
        <v>472</v>
      </c>
      <c r="B13" s="141" t="s">
        <v>600</v>
      </c>
      <c r="C13" s="253">
        <f>365/C11</f>
        <v>234.43318324878501</v>
      </c>
      <c r="D13" s="136"/>
      <c r="E13" s="135" t="s">
        <v>473</v>
      </c>
      <c r="F13" s="273">
        <f>951380+67009</f>
        <v>1018389</v>
      </c>
      <c r="G13" s="123"/>
      <c r="H13" s="142" t="s">
        <v>474</v>
      </c>
      <c r="I13" s="251">
        <v>3821850</v>
      </c>
      <c r="J13" s="180"/>
      <c r="K13" s="265"/>
    </row>
    <row r="14" spans="1:11">
      <c r="A14" s="119" t="s">
        <v>475</v>
      </c>
      <c r="B14" s="143" t="s">
        <v>552</v>
      </c>
      <c r="C14" s="253">
        <f>F18*4/I23</f>
        <v>1.4384496694428317</v>
      </c>
      <c r="D14" s="129"/>
      <c r="E14" s="135" t="s">
        <v>477</v>
      </c>
      <c r="F14" s="179">
        <v>67009</v>
      </c>
      <c r="G14" s="123"/>
      <c r="H14" s="142" t="s">
        <v>478</v>
      </c>
      <c r="I14" s="251">
        <v>222226</v>
      </c>
      <c r="J14" s="180"/>
    </row>
    <row r="15" spans="1:11">
      <c r="A15" s="119" t="s">
        <v>479</v>
      </c>
      <c r="B15" s="144" t="s">
        <v>553</v>
      </c>
      <c r="C15" s="253">
        <f>F18*4/F16</f>
        <v>0.57072897443243698</v>
      </c>
      <c r="D15" s="129"/>
      <c r="E15" s="119" t="s">
        <v>49</v>
      </c>
      <c r="F15" s="251">
        <v>733646</v>
      </c>
      <c r="G15" s="123"/>
      <c r="H15" s="142" t="s">
        <v>481</v>
      </c>
      <c r="I15" s="179">
        <v>3482814</v>
      </c>
      <c r="J15" s="180"/>
      <c r="K15" s="265"/>
    </row>
    <row r="16" spans="1:11">
      <c r="A16" s="135" t="s">
        <v>482</v>
      </c>
      <c r="B16" s="144" t="s">
        <v>554</v>
      </c>
      <c r="C16" s="252">
        <f>(F15+I10*0.8)*4/F16</f>
        <v>9.4934064279445909E-2</v>
      </c>
      <c r="D16" s="122"/>
      <c r="E16" s="119" t="s">
        <v>484</v>
      </c>
      <c r="F16" s="251">
        <f>(F4+I22)/2</f>
        <v>33170525.5</v>
      </c>
      <c r="G16" s="123"/>
      <c r="H16" s="124" t="s">
        <v>485</v>
      </c>
      <c r="I16" s="179">
        <v>7855685</v>
      </c>
      <c r="J16" s="180"/>
      <c r="K16" s="265"/>
    </row>
    <row r="17" spans="1:11">
      <c r="A17" s="119" t="s">
        <v>486</v>
      </c>
      <c r="B17" s="144" t="s">
        <v>136</v>
      </c>
      <c r="C17" s="252">
        <f>F15*4/F17</f>
        <v>0.1412567102237039</v>
      </c>
      <c r="D17" s="122"/>
      <c r="E17" s="119" t="s">
        <v>488</v>
      </c>
      <c r="F17" s="251">
        <f>(F5+I21)/2</f>
        <v>20774829</v>
      </c>
      <c r="G17" s="123"/>
      <c r="H17" s="145" t="s">
        <v>489</v>
      </c>
      <c r="I17" s="179">
        <v>8315015</v>
      </c>
      <c r="K17" s="265"/>
    </row>
    <row r="18" spans="1:11">
      <c r="A18" s="119" t="s">
        <v>490</v>
      </c>
      <c r="B18" s="141" t="s">
        <v>491</v>
      </c>
      <c r="C18" s="252">
        <f>I9/I19</f>
        <v>0.52228488858761857</v>
      </c>
      <c r="D18" s="122"/>
      <c r="E18" s="119" t="s">
        <v>58</v>
      </c>
      <c r="F18" s="251">
        <v>4732845</v>
      </c>
      <c r="G18" s="123"/>
      <c r="H18" s="124" t="s">
        <v>492</v>
      </c>
      <c r="I18" s="179">
        <v>3147115</v>
      </c>
      <c r="K18" s="265"/>
    </row>
    <row r="19" spans="1:11">
      <c r="A19" s="119" t="s">
        <v>604</v>
      </c>
      <c r="B19" s="141" t="s">
        <v>494</v>
      </c>
      <c r="C19" s="252">
        <f>I11/I19</f>
        <v>0.57375506885929262</v>
      </c>
      <c r="D19" s="122"/>
      <c r="E19" s="119" t="s">
        <v>495</v>
      </c>
      <c r="F19" s="251">
        <v>165816</v>
      </c>
      <c r="G19" s="123"/>
      <c r="H19" s="124" t="s">
        <v>62</v>
      </c>
      <c r="I19" s="251">
        <v>1658164</v>
      </c>
      <c r="J19" s="180"/>
      <c r="K19" s="265"/>
    </row>
    <row r="20" spans="1:11">
      <c r="A20" s="119" t="s">
        <v>496</v>
      </c>
      <c r="B20" s="146" t="s">
        <v>5</v>
      </c>
      <c r="C20" s="252">
        <f>F15/F18</f>
        <v>0.15501162619946354</v>
      </c>
      <c r="D20" s="122"/>
      <c r="E20" s="119" t="s">
        <v>64</v>
      </c>
      <c r="F20" s="251">
        <v>1315587</v>
      </c>
      <c r="G20" s="123"/>
      <c r="H20" s="124" t="s">
        <v>497</v>
      </c>
      <c r="I20" s="276">
        <v>12846757</v>
      </c>
    </row>
    <row r="21" spans="1:11">
      <c r="A21" s="135" t="s">
        <v>498</v>
      </c>
      <c r="B21" s="120" t="s">
        <v>6</v>
      </c>
      <c r="C21" s="253">
        <f>F8/F19</f>
        <v>4.414573985622618</v>
      </c>
      <c r="D21" s="129"/>
      <c r="E21" s="119" t="s">
        <v>66</v>
      </c>
      <c r="F21" s="251">
        <f>SUM(F22:F26)</f>
        <v>19651826</v>
      </c>
      <c r="G21" s="123"/>
      <c r="H21" s="124" t="s">
        <v>499</v>
      </c>
      <c r="I21" s="179">
        <v>20404035</v>
      </c>
      <c r="J21" s="264"/>
      <c r="K21" s="265"/>
    </row>
    <row r="22" spans="1:11">
      <c r="A22" s="119" t="s">
        <v>500</v>
      </c>
      <c r="B22" s="144" t="s">
        <v>555</v>
      </c>
      <c r="C22" s="256">
        <f>F20*4/F10</f>
        <v>0.43961415089697659</v>
      </c>
      <c r="D22" s="122"/>
      <c r="E22" s="137" t="s">
        <v>602</v>
      </c>
      <c r="F22" s="257">
        <v>4215253</v>
      </c>
      <c r="G22" s="123"/>
      <c r="H22" s="124" t="s">
        <v>502</v>
      </c>
      <c r="I22" s="179">
        <v>32836762</v>
      </c>
      <c r="J22" s="180"/>
      <c r="K22" s="265"/>
    </row>
    <row r="23" spans="1:11">
      <c r="A23" s="119" t="s">
        <v>503</v>
      </c>
      <c r="B23" s="120" t="s">
        <v>7</v>
      </c>
      <c r="C23" s="258">
        <f>F21/F27</f>
        <v>2.3406742683273549</v>
      </c>
      <c r="D23" s="122"/>
      <c r="E23" s="137" t="s">
        <v>605</v>
      </c>
      <c r="F23" s="257">
        <v>5002761</v>
      </c>
      <c r="G23" s="123"/>
      <c r="H23" s="124" t="s">
        <v>504</v>
      </c>
      <c r="I23" s="179">
        <f>(F7+I20)/2</f>
        <v>13160961</v>
      </c>
      <c r="K23" s="265"/>
    </row>
    <row r="24" spans="1:11">
      <c r="A24" s="119" t="s">
        <v>505</v>
      </c>
      <c r="B24" s="120" t="s">
        <v>506</v>
      </c>
      <c r="C24" s="121">
        <f>(F20-I24)/SUM(I3:I6)</f>
        <v>4.3707345797026745E-2</v>
      </c>
      <c r="D24" s="122"/>
      <c r="E24" s="104" t="s">
        <v>617</v>
      </c>
      <c r="F24" s="257">
        <v>4988338</v>
      </c>
      <c r="G24" s="123"/>
      <c r="H24" s="124" t="s">
        <v>507</v>
      </c>
      <c r="I24" s="251">
        <f>F42</f>
        <v>0</v>
      </c>
      <c r="K24" s="265"/>
    </row>
    <row r="25" spans="1:11">
      <c r="A25" s="119" t="s">
        <v>508</v>
      </c>
      <c r="B25" s="120" t="s">
        <v>114</v>
      </c>
      <c r="C25" s="128">
        <f>(F18-I7)/I9</f>
        <v>1.6255631995972444</v>
      </c>
      <c r="D25" s="129"/>
      <c r="E25" s="104" t="s">
        <v>618</v>
      </c>
      <c r="F25" s="257">
        <v>4129887</v>
      </c>
      <c r="G25" s="123"/>
      <c r="H25" s="124" t="s">
        <v>510</v>
      </c>
      <c r="I25" s="251">
        <v>38201</v>
      </c>
      <c r="K25" s="265"/>
    </row>
    <row r="26" spans="1:11">
      <c r="A26" s="119" t="s">
        <v>511</v>
      </c>
      <c r="B26" s="120" t="s">
        <v>8</v>
      </c>
      <c r="C26" s="128">
        <f>I9/(I9-I10)</f>
        <v>1.0838634585901568</v>
      </c>
      <c r="D26" s="129"/>
      <c r="E26" s="137" t="s">
        <v>619</v>
      </c>
      <c r="F26" s="251">
        <f>F20</f>
        <v>1315587</v>
      </c>
      <c r="G26" s="123"/>
      <c r="H26" s="124" t="s">
        <v>513</v>
      </c>
      <c r="I26" s="276">
        <v>0</v>
      </c>
    </row>
    <row r="27" spans="1:11">
      <c r="A27" s="125" t="s">
        <v>561</v>
      </c>
      <c r="B27" s="267" t="s">
        <v>563</v>
      </c>
      <c r="C27" s="266">
        <f>F5-I31</f>
        <v>21005681</v>
      </c>
      <c r="D27" s="148"/>
      <c r="E27" s="135" t="s">
        <v>514</v>
      </c>
      <c r="F27" s="251">
        <f>SUM(F28:F42)</f>
        <v>8395797</v>
      </c>
      <c r="G27" s="123"/>
      <c r="H27" s="124" t="s">
        <v>515</v>
      </c>
      <c r="I27" s="131">
        <v>827044</v>
      </c>
      <c r="J27" s="107" t="s">
        <v>582</v>
      </c>
    </row>
    <row r="28" spans="1:11">
      <c r="A28" s="119"/>
      <c r="B28" s="141"/>
      <c r="C28" s="147"/>
      <c r="D28" s="148"/>
      <c r="E28" s="137" t="s">
        <v>602</v>
      </c>
      <c r="F28" s="257">
        <v>849114</v>
      </c>
      <c r="G28" s="150"/>
      <c r="H28" s="124" t="s">
        <v>516</v>
      </c>
      <c r="I28" s="131">
        <v>1640856</v>
      </c>
    </row>
    <row r="29" spans="1:11">
      <c r="A29" s="119"/>
      <c r="B29" s="141"/>
      <c r="C29" s="147"/>
      <c r="D29" s="148"/>
      <c r="E29" s="137" t="s">
        <v>605</v>
      </c>
      <c r="F29" s="257">
        <v>448260</v>
      </c>
      <c r="G29" s="123"/>
      <c r="H29" s="124" t="s">
        <v>517</v>
      </c>
      <c r="I29" s="280">
        <v>801278</v>
      </c>
      <c r="J29" s="107" t="s">
        <v>582</v>
      </c>
    </row>
    <row r="30" spans="1:11">
      <c r="A30" s="119"/>
      <c r="B30" s="141"/>
      <c r="C30" s="147"/>
      <c r="D30" s="148"/>
      <c r="E30" s="104" t="s">
        <v>617</v>
      </c>
      <c r="F30" s="257">
        <v>361483</v>
      </c>
      <c r="G30" s="123"/>
      <c r="H30" s="124" t="s">
        <v>518</v>
      </c>
      <c r="I30" s="280">
        <v>1700528</v>
      </c>
      <c r="J30" s="180"/>
    </row>
    <row r="31" spans="1:11">
      <c r="A31" s="285" t="s">
        <v>519</v>
      </c>
      <c r="B31" s="286"/>
      <c r="C31" s="287"/>
      <c r="D31" s="151"/>
      <c r="E31" s="104" t="s">
        <v>618</v>
      </c>
      <c r="F31" s="257">
        <v>183370</v>
      </c>
      <c r="G31" s="123"/>
      <c r="H31" s="145" t="s">
        <v>562</v>
      </c>
      <c r="I31" s="260">
        <v>139942</v>
      </c>
      <c r="J31" s="180"/>
      <c r="K31" s="265"/>
    </row>
    <row r="32" spans="1:11">
      <c r="A32" s="153" t="s">
        <v>520</v>
      </c>
      <c r="B32" s="141"/>
      <c r="C32" s="154"/>
      <c r="D32" s="122"/>
      <c r="E32" s="277" t="s">
        <v>620</v>
      </c>
      <c r="F32" s="257">
        <v>38201</v>
      </c>
      <c r="G32" s="150"/>
      <c r="H32" s="145"/>
      <c r="I32" s="260"/>
      <c r="J32" s="180"/>
    </row>
    <row r="33" spans="1:14">
      <c r="A33" s="155" t="s">
        <v>522</v>
      </c>
      <c r="B33" s="156"/>
      <c r="C33" s="154"/>
      <c r="D33" s="122"/>
      <c r="E33" s="137" t="s">
        <v>621</v>
      </c>
      <c r="F33" s="257">
        <v>620341</v>
      </c>
      <c r="G33" s="123"/>
      <c r="H33" s="145"/>
      <c r="I33" s="260"/>
      <c r="J33" s="180"/>
      <c r="K33" s="265"/>
    </row>
    <row r="34" spans="1:14">
      <c r="A34" s="157" t="s">
        <v>524</v>
      </c>
      <c r="B34" s="156"/>
      <c r="C34" s="154"/>
      <c r="D34" s="122"/>
      <c r="E34" s="137" t="s">
        <v>605</v>
      </c>
      <c r="F34" s="257">
        <v>0</v>
      </c>
      <c r="G34" s="123"/>
      <c r="H34" s="145"/>
      <c r="I34" s="158"/>
      <c r="J34" s="180"/>
      <c r="K34" s="265"/>
    </row>
    <row r="35" spans="1:14">
      <c r="A35" s="159" t="s">
        <v>525</v>
      </c>
      <c r="B35" s="141"/>
      <c r="C35" s="154"/>
      <c r="D35" s="122"/>
      <c r="E35" s="137" t="s">
        <v>606</v>
      </c>
      <c r="F35" s="257">
        <v>883476</v>
      </c>
      <c r="G35" s="123"/>
      <c r="H35" s="145"/>
      <c r="I35" s="158"/>
      <c r="J35" s="180"/>
      <c r="K35" s="265"/>
    </row>
    <row r="36" spans="1:14">
      <c r="A36" s="119"/>
      <c r="B36" s="141"/>
      <c r="C36" s="154"/>
      <c r="D36" s="122"/>
      <c r="E36" s="104" t="s">
        <v>618</v>
      </c>
      <c r="F36" s="257">
        <v>681441</v>
      </c>
      <c r="G36" s="123"/>
      <c r="H36" s="145" t="s">
        <v>526</v>
      </c>
      <c r="I36" s="261">
        <f>SUM(I32:I35)</f>
        <v>0</v>
      </c>
      <c r="J36" s="180"/>
      <c r="K36" s="268"/>
      <c r="L36" s="265"/>
      <c r="M36" s="265"/>
      <c r="N36" s="265"/>
    </row>
    <row r="37" spans="1:14">
      <c r="A37" s="119"/>
      <c r="B37" s="141"/>
      <c r="C37" s="154"/>
      <c r="D37" s="122"/>
      <c r="E37" s="277" t="s">
        <v>622</v>
      </c>
      <c r="F37" s="257">
        <v>433425</v>
      </c>
      <c r="G37" s="123"/>
      <c r="H37" s="124"/>
      <c r="I37" s="158"/>
      <c r="J37" s="180"/>
      <c r="K37" s="265"/>
      <c r="L37" s="265"/>
      <c r="M37" s="265"/>
      <c r="N37" s="265"/>
    </row>
    <row r="38" spans="1:14">
      <c r="A38" s="119"/>
      <c r="B38" s="141"/>
      <c r="C38" s="154"/>
      <c r="D38" s="122"/>
      <c r="E38" s="137" t="s">
        <v>623</v>
      </c>
      <c r="F38" s="251">
        <v>497449</v>
      </c>
      <c r="G38" s="161"/>
      <c r="H38" s="124" t="s">
        <v>530</v>
      </c>
      <c r="I38" s="179">
        <f>預付!D11/1000</f>
        <v>50428.813000000002</v>
      </c>
      <c r="J38" s="180"/>
      <c r="K38" s="265"/>
    </row>
    <row r="39" spans="1:14" ht="15.6" customHeight="1">
      <c r="A39" s="119"/>
      <c r="B39" s="141"/>
      <c r="C39" s="154"/>
      <c r="D39" s="122"/>
      <c r="E39" s="137" t="s">
        <v>605</v>
      </c>
      <c r="F39" s="251">
        <v>829082</v>
      </c>
      <c r="G39" s="150"/>
      <c r="H39" s="124" t="s">
        <v>531</v>
      </c>
      <c r="I39" s="276">
        <f>543594-10250</f>
        <v>533344</v>
      </c>
      <c r="J39" s="269"/>
      <c r="K39" s="275"/>
      <c r="M39" s="265"/>
      <c r="N39" s="265"/>
    </row>
    <row r="40" spans="1:14" ht="15.6" customHeight="1">
      <c r="A40" s="119"/>
      <c r="B40" s="141"/>
      <c r="C40" s="154"/>
      <c r="D40" s="122"/>
      <c r="E40" s="137" t="s">
        <v>606</v>
      </c>
      <c r="F40" s="179">
        <v>1077807</v>
      </c>
      <c r="G40" s="150"/>
      <c r="H40" s="124" t="s">
        <v>532</v>
      </c>
      <c r="I40" s="179">
        <v>8415</v>
      </c>
      <c r="J40" s="274"/>
      <c r="K40" s="275"/>
      <c r="M40" s="265"/>
      <c r="N40" s="265"/>
    </row>
    <row r="41" spans="1:14">
      <c r="A41" s="119"/>
      <c r="B41" s="141"/>
      <c r="C41" s="154"/>
      <c r="D41" s="122"/>
      <c r="E41" s="104" t="s">
        <v>618</v>
      </c>
      <c r="F41" s="179">
        <v>1492348</v>
      </c>
      <c r="G41" s="162"/>
      <c r="H41" s="163"/>
      <c r="I41" s="164"/>
      <c r="J41" s="180"/>
      <c r="K41" s="265"/>
      <c r="M41" s="265"/>
      <c r="N41" s="265"/>
    </row>
    <row r="42" spans="1:14">
      <c r="A42" s="165"/>
      <c r="B42" s="166"/>
      <c r="C42" s="167"/>
      <c r="D42" s="168"/>
      <c r="E42" s="278" t="s">
        <v>622</v>
      </c>
      <c r="F42" s="179">
        <v>0</v>
      </c>
      <c r="G42" s="169"/>
      <c r="J42" s="180"/>
      <c r="K42" s="265"/>
      <c r="L42" s="265"/>
      <c r="M42" s="265"/>
      <c r="N42" s="265"/>
    </row>
    <row r="43" spans="1:14">
      <c r="E43" s="170"/>
      <c r="F43" s="106"/>
      <c r="G43" s="106"/>
      <c r="H43" s="104" t="s">
        <v>115</v>
      </c>
      <c r="K43" s="265"/>
      <c r="L43" s="272"/>
    </row>
    <row r="44" spans="1:14">
      <c r="G44" s="106"/>
      <c r="H44" s="104" t="s">
        <v>116</v>
      </c>
      <c r="I44" s="262">
        <f>I18</f>
        <v>3147115</v>
      </c>
      <c r="K44" s="265"/>
      <c r="L44" s="265"/>
      <c r="M44" s="265"/>
      <c r="N44" s="265"/>
    </row>
    <row r="45" spans="1:14">
      <c r="E45" s="170"/>
      <c r="F45" s="106"/>
      <c r="G45" s="106"/>
      <c r="H45" s="104" t="s">
        <v>117</v>
      </c>
      <c r="I45" s="262">
        <v>719696</v>
      </c>
      <c r="K45" s="265"/>
      <c r="L45" s="265"/>
      <c r="M45" s="265"/>
      <c r="N45" s="265"/>
    </row>
    <row r="46" spans="1:14">
      <c r="F46" s="106"/>
      <c r="G46" s="106"/>
      <c r="H46" s="104" t="s">
        <v>118</v>
      </c>
      <c r="I46" s="262">
        <f>I39+I40</f>
        <v>541759</v>
      </c>
      <c r="K46" s="265"/>
    </row>
    <row r="47" spans="1:14" ht="14.25" thickBot="1">
      <c r="E47" s="170"/>
      <c r="F47" s="106"/>
      <c r="G47" s="106"/>
      <c r="H47" s="104" t="s">
        <v>119</v>
      </c>
      <c r="I47" s="263">
        <f>I44+I45-I46</f>
        <v>3325052</v>
      </c>
      <c r="K47" s="265"/>
    </row>
    <row r="48" spans="1:14" ht="14.25" thickTop="1">
      <c r="E48" s="170"/>
      <c r="F48" s="106"/>
      <c r="G48" s="106"/>
      <c r="K48" s="265"/>
    </row>
    <row r="49" spans="2:11">
      <c r="E49" s="170"/>
      <c r="F49" s="106"/>
    </row>
    <row r="50" spans="2:11">
      <c r="J50" s="180"/>
      <c r="K50" s="265"/>
    </row>
    <row r="51" spans="2:11">
      <c r="J51" s="180"/>
      <c r="K51" s="265"/>
    </row>
    <row r="53" spans="2:11">
      <c r="J53" s="180"/>
    </row>
    <row r="54" spans="2:11">
      <c r="E54" s="265"/>
      <c r="H54" s="265"/>
      <c r="J54" s="180"/>
    </row>
    <row r="55" spans="2:11">
      <c r="E55" s="265"/>
      <c r="H55" s="265"/>
    </row>
    <row r="56" spans="2:11">
      <c r="E56" s="265"/>
      <c r="F56" s="105" t="s">
        <v>598</v>
      </c>
      <c r="H56" s="265"/>
    </row>
    <row r="57" spans="2:11">
      <c r="E57" s="265"/>
      <c r="H57" s="265"/>
    </row>
    <row r="59" spans="2:11">
      <c r="B59" s="173"/>
    </row>
    <row r="60" spans="2:11">
      <c r="B60" s="174"/>
    </row>
    <row r="61" spans="2:11">
      <c r="B61" s="173"/>
    </row>
    <row r="63" spans="2:11">
      <c r="H63" s="265"/>
    </row>
    <row r="66" spans="8:8">
      <c r="H66" s="265"/>
    </row>
    <row r="67" spans="8:8">
      <c r="H67" s="265"/>
    </row>
    <row r="73" spans="8:8">
      <c r="H73" s="265"/>
    </row>
  </sheetData>
  <mergeCells count="1">
    <mergeCell ref="A31:C31"/>
  </mergeCells>
  <phoneticPr fontId="3" type="noConversion"/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2"/>
  <sheetViews>
    <sheetView workbookViewId="0">
      <selection activeCell="H7" sqref="H7"/>
    </sheetView>
  </sheetViews>
  <sheetFormatPr defaultRowHeight="15.75"/>
  <cols>
    <col min="1" max="1" width="9.140625" style="281"/>
    <col min="2" max="2" width="5.42578125" style="281" bestFit="1" customWidth="1"/>
    <col min="3" max="3" width="30.85546875" style="281" bestFit="1" customWidth="1"/>
    <col min="4" max="4" width="20" style="281" customWidth="1"/>
    <col min="5" max="16384" width="9.140625" style="281"/>
  </cols>
  <sheetData>
    <row r="1" spans="2:4">
      <c r="D1" s="281" t="s">
        <v>624</v>
      </c>
    </row>
    <row r="2" spans="2:4">
      <c r="B2" s="281">
        <v>1411</v>
      </c>
      <c r="C2" s="281" t="s">
        <v>607</v>
      </c>
      <c r="D2" s="282">
        <v>0</v>
      </c>
    </row>
    <row r="3" spans="2:4">
      <c r="B3" s="281">
        <v>1412</v>
      </c>
      <c r="C3" s="281" t="s">
        <v>608</v>
      </c>
      <c r="D3" s="284">
        <v>303311</v>
      </c>
    </row>
    <row r="4" spans="2:4">
      <c r="B4" s="281">
        <v>1413</v>
      </c>
      <c r="C4" s="281" t="s">
        <v>609</v>
      </c>
      <c r="D4" s="284">
        <v>0</v>
      </c>
    </row>
    <row r="5" spans="2:4">
      <c r="B5" s="281">
        <v>1414</v>
      </c>
      <c r="C5" s="281" t="s">
        <v>610</v>
      </c>
      <c r="D5" s="284">
        <v>16609805</v>
      </c>
    </row>
    <row r="6" spans="2:4">
      <c r="B6" s="281">
        <v>1415</v>
      </c>
      <c r="C6" s="281" t="s">
        <v>611</v>
      </c>
      <c r="D6" s="284">
        <v>0</v>
      </c>
    </row>
    <row r="7" spans="2:4">
      <c r="B7" s="281">
        <v>1416</v>
      </c>
      <c r="C7" s="281" t="s">
        <v>612</v>
      </c>
      <c r="D7" s="284">
        <v>0</v>
      </c>
    </row>
    <row r="8" spans="2:4">
      <c r="B8" s="281">
        <v>1419</v>
      </c>
      <c r="C8" s="281" t="s">
        <v>613</v>
      </c>
      <c r="D8" s="284">
        <v>20718302</v>
      </c>
    </row>
    <row r="9" spans="2:4">
      <c r="B9" s="281">
        <v>1421</v>
      </c>
      <c r="C9" s="281" t="s">
        <v>614</v>
      </c>
      <c r="D9" s="284">
        <v>12797395</v>
      </c>
    </row>
    <row r="10" spans="2:4">
      <c r="B10" s="281">
        <v>1422</v>
      </c>
      <c r="C10" s="281" t="s">
        <v>615</v>
      </c>
      <c r="D10" s="282">
        <v>0</v>
      </c>
    </row>
    <row r="11" spans="2:4" ht="16.5" thickBot="1">
      <c r="D11" s="283">
        <f>SUM(D2:D10)</f>
        <v>50428813</v>
      </c>
    </row>
    <row r="12" spans="2:4" ht="16.5" thickTop="1"/>
  </sheetData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3">
    <tabColor theme="1"/>
  </sheetPr>
  <dimension ref="A1:N61"/>
  <sheetViews>
    <sheetView zoomScaleNormal="100" workbookViewId="0">
      <pane xSplit="2" ySplit="2" topLeftCell="C24" activePane="bottomRight" state="frozen"/>
      <selection activeCell="F37" sqref="F37"/>
      <selection pane="topRight" activeCell="F37" sqref="F37"/>
      <selection pane="bottomLeft" activeCell="F37" sqref="F37"/>
      <selection pane="bottomRight" activeCell="F37" sqref="F37"/>
    </sheetView>
  </sheetViews>
  <sheetFormatPr defaultColWidth="35.7109375" defaultRowHeight="13.5"/>
  <cols>
    <col min="1" max="1" width="24" style="104" customWidth="1"/>
    <col min="2" max="2" width="26.42578125" style="102" customWidth="1"/>
    <col min="3" max="3" width="13.85546875" style="103" customWidth="1"/>
    <col min="4" max="4" width="2.85546875" style="103" customWidth="1"/>
    <col min="5" max="5" width="30.7109375" style="104" customWidth="1"/>
    <col min="6" max="6" width="14.85546875" style="105" customWidth="1"/>
    <col min="7" max="7" width="1.140625" style="105" customWidth="1"/>
    <col min="8" max="8" width="29.28515625" style="104" customWidth="1"/>
    <col min="9" max="9" width="17.85546875" style="106" customWidth="1"/>
    <col min="10" max="10" width="35.7109375" style="107"/>
    <col min="11" max="16384" width="35.7109375" style="104"/>
  </cols>
  <sheetData>
    <row r="1" spans="1:10">
      <c r="A1" s="102" t="s">
        <v>21</v>
      </c>
    </row>
    <row r="2" spans="1:10">
      <c r="A2" s="108" t="s">
        <v>583</v>
      </c>
      <c r="I2" s="109" t="s">
        <v>446</v>
      </c>
    </row>
    <row r="3" spans="1:10">
      <c r="A3" s="110" t="s">
        <v>22</v>
      </c>
      <c r="B3" s="111" t="s">
        <v>1</v>
      </c>
      <c r="C3" s="249">
        <f>F3/F4</f>
        <v>0.54210514085244732</v>
      </c>
      <c r="D3" s="113"/>
      <c r="E3" s="114" t="s">
        <v>23</v>
      </c>
      <c r="F3" s="250">
        <v>17916177</v>
      </c>
      <c r="G3" s="116"/>
      <c r="H3" s="117" t="s">
        <v>447</v>
      </c>
      <c r="I3" s="251">
        <v>22725153</v>
      </c>
    </row>
    <row r="4" spans="1:10">
      <c r="A4" s="119" t="s">
        <v>448</v>
      </c>
      <c r="B4" s="120" t="s">
        <v>201</v>
      </c>
      <c r="C4" s="252">
        <f>SUM(F5:F6)/F7</f>
        <v>1.8948559490069183</v>
      </c>
      <c r="D4" s="122"/>
      <c r="E4" s="119" t="s">
        <v>25</v>
      </c>
      <c r="F4" s="251">
        <v>33049266</v>
      </c>
      <c r="G4" s="123"/>
      <c r="H4" s="124" t="s">
        <v>26</v>
      </c>
      <c r="I4" s="251">
        <v>0</v>
      </c>
    </row>
    <row r="5" spans="1:10">
      <c r="A5" s="125" t="s">
        <v>27</v>
      </c>
      <c r="B5" s="126" t="s">
        <v>2</v>
      </c>
      <c r="C5" s="252">
        <f>F9/F10</f>
        <v>1.9782979463443955</v>
      </c>
      <c r="D5" s="122"/>
      <c r="E5" s="119" t="s">
        <v>449</v>
      </c>
      <c r="F5" s="251">
        <v>15133089</v>
      </c>
      <c r="G5" s="123"/>
      <c r="H5" s="124" t="s">
        <v>450</v>
      </c>
      <c r="I5" s="251">
        <f>20081246-13982132-671025-367249-46112</f>
        <v>5014728</v>
      </c>
      <c r="J5" s="180"/>
    </row>
    <row r="6" spans="1:10">
      <c r="A6" s="119" t="s">
        <v>28</v>
      </c>
      <c r="B6" s="120" t="s">
        <v>451</v>
      </c>
      <c r="C6" s="252">
        <f>(F9-F11-I38)/F10</f>
        <v>1.1689304881360276</v>
      </c>
      <c r="D6" s="122"/>
      <c r="E6" s="119" t="s">
        <v>452</v>
      </c>
      <c r="F6" s="251">
        <v>11361037</v>
      </c>
      <c r="G6" s="123"/>
      <c r="H6" s="124" t="s">
        <v>29</v>
      </c>
      <c r="I6" s="251">
        <f>F9-F10</f>
        <v>6412880</v>
      </c>
      <c r="J6" s="180"/>
    </row>
    <row r="7" spans="1:10">
      <c r="A7" s="119" t="s">
        <v>453</v>
      </c>
      <c r="B7" s="120" t="s">
        <v>3</v>
      </c>
      <c r="C7" s="253">
        <f>F13/F14</f>
        <v>11.089799133517133</v>
      </c>
      <c r="D7" s="129"/>
      <c r="E7" s="119" t="s">
        <v>454</v>
      </c>
      <c r="F7" s="273">
        <v>13982132</v>
      </c>
      <c r="G7" s="123"/>
      <c r="H7" s="124" t="s">
        <v>31</v>
      </c>
      <c r="I7" s="251">
        <f>I47</f>
        <v>3017319</v>
      </c>
      <c r="J7" s="180"/>
    </row>
    <row r="8" spans="1:10">
      <c r="A8" s="125" t="s">
        <v>455</v>
      </c>
      <c r="B8" s="126" t="s">
        <v>456</v>
      </c>
      <c r="C8" s="130">
        <f>(F13+I39+I40)/F14</f>
        <v>23.482398394568541</v>
      </c>
      <c r="D8" s="129"/>
      <c r="E8" s="119" t="s">
        <v>457</v>
      </c>
      <c r="F8" s="251">
        <v>467993</v>
      </c>
      <c r="G8" s="123"/>
      <c r="H8" s="124"/>
      <c r="I8" s="131"/>
      <c r="J8" s="180"/>
    </row>
    <row r="9" spans="1:10">
      <c r="A9" s="119" t="s">
        <v>458</v>
      </c>
      <c r="B9" s="132" t="s">
        <v>584</v>
      </c>
      <c r="C9" s="254">
        <f>F18*4/(SUM(I12:I15)/2)</f>
        <v>5.252559039370464</v>
      </c>
      <c r="D9" s="134"/>
      <c r="E9" s="119" t="s">
        <v>460</v>
      </c>
      <c r="F9" s="251">
        <v>12968020</v>
      </c>
      <c r="G9" s="123"/>
      <c r="H9" s="124" t="s">
        <v>35</v>
      </c>
      <c r="I9" s="251">
        <v>343509</v>
      </c>
      <c r="J9" s="180"/>
    </row>
    <row r="10" spans="1:10">
      <c r="A10" s="135" t="s">
        <v>461</v>
      </c>
      <c r="B10" s="120" t="s">
        <v>462</v>
      </c>
      <c r="C10" s="253">
        <f>365/C9</f>
        <v>69.489937621671444</v>
      </c>
      <c r="D10" s="136"/>
      <c r="E10" s="137" t="s">
        <v>463</v>
      </c>
      <c r="F10" s="251">
        <v>6555140</v>
      </c>
      <c r="G10" s="123"/>
      <c r="H10" s="124" t="s">
        <v>464</v>
      </c>
      <c r="I10" s="251">
        <f>F14</f>
        <v>53319</v>
      </c>
      <c r="J10" s="180"/>
    </row>
    <row r="11" spans="1:10">
      <c r="A11" s="135" t="s">
        <v>465</v>
      </c>
      <c r="B11" s="132" t="s">
        <v>585</v>
      </c>
      <c r="C11" s="253">
        <f>I18*4/(SUM(I16+I17)/2)</f>
        <v>1.9203901415428855</v>
      </c>
      <c r="D11" s="129"/>
      <c r="E11" s="119" t="s">
        <v>467</v>
      </c>
      <c r="F11" s="251">
        <v>5222284</v>
      </c>
      <c r="G11" s="123"/>
      <c r="H11" s="124" t="s">
        <v>41</v>
      </c>
      <c r="I11" s="251">
        <f>F13-F14</f>
        <v>537978</v>
      </c>
    </row>
    <row r="12" spans="1:10">
      <c r="A12" s="119" t="s">
        <v>468</v>
      </c>
      <c r="B12" s="177" t="s">
        <v>586</v>
      </c>
      <c r="C12" s="255">
        <f>I18*4/(SUM(I27:I30)/2)</f>
        <v>5.6062718198241459</v>
      </c>
      <c r="D12" s="140"/>
      <c r="E12" s="119" t="s">
        <v>470</v>
      </c>
      <c r="F12" s="251">
        <v>286893</v>
      </c>
      <c r="G12" s="123"/>
      <c r="H12" s="124" t="s">
        <v>471</v>
      </c>
      <c r="I12" s="251">
        <v>266614</v>
      </c>
      <c r="J12" s="180"/>
    </row>
    <row r="13" spans="1:10">
      <c r="A13" s="119" t="s">
        <v>472</v>
      </c>
      <c r="B13" s="141" t="s">
        <v>4</v>
      </c>
      <c r="C13" s="253">
        <f>365/C11</f>
        <v>190.06554559103841</v>
      </c>
      <c r="D13" s="136"/>
      <c r="E13" s="135" t="s">
        <v>473</v>
      </c>
      <c r="F13" s="273">
        <f>537978+53319</f>
        <v>591297</v>
      </c>
      <c r="G13" s="123"/>
      <c r="H13" s="142" t="s">
        <v>474</v>
      </c>
      <c r="I13" s="251">
        <v>2728976</v>
      </c>
      <c r="J13" s="180"/>
    </row>
    <row r="14" spans="1:10">
      <c r="A14" s="119" t="s">
        <v>475</v>
      </c>
      <c r="B14" s="143" t="s">
        <v>587</v>
      </c>
      <c r="C14" s="253">
        <f>F18*4/I23</f>
        <v>1.1528416638621448</v>
      </c>
      <c r="D14" s="129"/>
      <c r="E14" s="135" t="s">
        <v>477</v>
      </c>
      <c r="F14" s="251">
        <v>53319</v>
      </c>
      <c r="G14" s="123"/>
      <c r="H14" s="142" t="s">
        <v>478</v>
      </c>
      <c r="I14" s="251">
        <v>276801</v>
      </c>
      <c r="J14" s="180"/>
    </row>
    <row r="15" spans="1:10">
      <c r="A15" s="119" t="s">
        <v>479</v>
      </c>
      <c r="B15" s="144" t="s">
        <v>588</v>
      </c>
      <c r="C15" s="253">
        <f>F18*4/F16</f>
        <v>0.49907948770993543</v>
      </c>
      <c r="D15" s="129"/>
      <c r="E15" s="119" t="s">
        <v>49</v>
      </c>
      <c r="F15" s="251">
        <v>461279</v>
      </c>
      <c r="G15" s="123"/>
      <c r="H15" s="142" t="s">
        <v>481</v>
      </c>
      <c r="I15" s="251">
        <v>2852759</v>
      </c>
      <c r="J15" s="180"/>
    </row>
    <row r="16" spans="1:10">
      <c r="A16" s="135" t="s">
        <v>482</v>
      </c>
      <c r="B16" s="144" t="s">
        <v>589</v>
      </c>
      <c r="C16" s="252">
        <f>(F15+I10*0.8)*4/F16</f>
        <v>6.253827091120355E-2</v>
      </c>
      <c r="D16" s="122"/>
      <c r="E16" s="119" t="s">
        <v>484</v>
      </c>
      <c r="F16" s="251">
        <f>(F4+I22)/2</f>
        <v>32232052</v>
      </c>
      <c r="G16" s="123"/>
      <c r="H16" s="124" t="s">
        <v>485</v>
      </c>
      <c r="I16" s="273">
        <v>6078323</v>
      </c>
      <c r="J16" s="180"/>
    </row>
    <row r="17" spans="1:10">
      <c r="A17" s="119" t="s">
        <v>486</v>
      </c>
      <c r="B17" s="144" t="s">
        <v>98</v>
      </c>
      <c r="C17" s="252">
        <f>F15*4/F17</f>
        <v>0.12400418966676557</v>
      </c>
      <c r="D17" s="122"/>
      <c r="E17" s="119" t="s">
        <v>488</v>
      </c>
      <c r="F17" s="251">
        <f>(F5+I21)/2</f>
        <v>14879465</v>
      </c>
      <c r="G17" s="123"/>
      <c r="H17" s="145" t="s">
        <v>489</v>
      </c>
      <c r="I17" s="251">
        <v>6274117</v>
      </c>
    </row>
    <row r="18" spans="1:10">
      <c r="A18" s="119" t="s">
        <v>490</v>
      </c>
      <c r="B18" s="141" t="s">
        <v>491</v>
      </c>
      <c r="C18" s="252">
        <f>I9/I19</f>
        <v>0.20716225898041449</v>
      </c>
      <c r="D18" s="122"/>
      <c r="E18" s="119" t="s">
        <v>58</v>
      </c>
      <c r="F18" s="251">
        <v>4021589</v>
      </c>
      <c r="G18" s="123"/>
      <c r="H18" s="124" t="s">
        <v>492</v>
      </c>
      <c r="I18" s="251">
        <v>2965188</v>
      </c>
    </row>
    <row r="19" spans="1:10">
      <c r="A19" s="119" t="s">
        <v>493</v>
      </c>
      <c r="B19" s="141" t="s">
        <v>494</v>
      </c>
      <c r="C19" s="252">
        <f>I11/I19</f>
        <v>0.32444197317032575</v>
      </c>
      <c r="D19" s="122"/>
      <c r="E19" s="119" t="s">
        <v>495</v>
      </c>
      <c r="F19" s="251">
        <v>165816</v>
      </c>
      <c r="G19" s="123"/>
      <c r="H19" s="124" t="s">
        <v>62</v>
      </c>
      <c r="I19" s="251">
        <v>1658164</v>
      </c>
    </row>
    <row r="20" spans="1:10">
      <c r="A20" s="119" t="s">
        <v>496</v>
      </c>
      <c r="B20" s="146" t="s">
        <v>5</v>
      </c>
      <c r="C20" s="252">
        <f>F15/F18</f>
        <v>0.11470068174544937</v>
      </c>
      <c r="D20" s="122"/>
      <c r="E20" s="119" t="s">
        <v>601</v>
      </c>
      <c r="F20" s="251">
        <v>817071</v>
      </c>
      <c r="G20" s="123"/>
      <c r="H20" s="124" t="s">
        <v>497</v>
      </c>
      <c r="I20" s="273">
        <v>13925180</v>
      </c>
    </row>
    <row r="21" spans="1:10">
      <c r="A21" s="135" t="s">
        <v>498</v>
      </c>
      <c r="B21" s="120" t="s">
        <v>6</v>
      </c>
      <c r="C21" s="253">
        <f>F8/F19</f>
        <v>2.8223633425001204</v>
      </c>
      <c r="D21" s="129"/>
      <c r="E21" s="119" t="s">
        <v>66</v>
      </c>
      <c r="F21" s="251">
        <f>SUM(F22:F26)</f>
        <v>15614062</v>
      </c>
      <c r="G21" s="123"/>
      <c r="H21" s="124" t="s">
        <v>499</v>
      </c>
      <c r="I21" s="251">
        <v>14625841</v>
      </c>
      <c r="J21" s="264"/>
    </row>
    <row r="22" spans="1:10">
      <c r="A22" s="119" t="s">
        <v>500</v>
      </c>
      <c r="B22" s="144" t="s">
        <v>590</v>
      </c>
      <c r="C22" s="256">
        <f>F20*4/F10</f>
        <v>0.49858340172749932</v>
      </c>
      <c r="D22" s="122"/>
      <c r="E22" s="137" t="s">
        <v>309</v>
      </c>
      <c r="F22" s="257">
        <v>3835469</v>
      </c>
      <c r="G22" s="123"/>
      <c r="H22" s="124" t="s">
        <v>502</v>
      </c>
      <c r="I22" s="251">
        <v>31414838</v>
      </c>
      <c r="J22" s="180"/>
    </row>
    <row r="23" spans="1:10">
      <c r="A23" s="119" t="s">
        <v>503</v>
      </c>
      <c r="B23" s="120" t="s">
        <v>7</v>
      </c>
      <c r="C23" s="258">
        <f>F21/F27</f>
        <v>2.9248196580668244</v>
      </c>
      <c r="D23" s="122"/>
      <c r="E23" s="137" t="s">
        <v>509</v>
      </c>
      <c r="F23" s="257">
        <v>3449192</v>
      </c>
      <c r="G23" s="123"/>
      <c r="H23" s="124" t="s">
        <v>504</v>
      </c>
      <c r="I23" s="251">
        <f>(F7+I20)/2</f>
        <v>13953656</v>
      </c>
    </row>
    <row r="24" spans="1:10">
      <c r="A24" s="119" t="s">
        <v>505</v>
      </c>
      <c r="B24" s="120" t="s">
        <v>506</v>
      </c>
      <c r="C24" s="121">
        <f>(F20-I24)/SUM(I3:I6)</f>
        <v>2.3924010126150561E-2</v>
      </c>
      <c r="D24" s="122"/>
      <c r="E24" s="137" t="s">
        <v>557</v>
      </c>
      <c r="F24" s="257">
        <v>3925407</v>
      </c>
      <c r="G24" s="123"/>
      <c r="H24" s="124" t="s">
        <v>507</v>
      </c>
      <c r="I24" s="251">
        <f>F42</f>
        <v>0</v>
      </c>
    </row>
    <row r="25" spans="1:10">
      <c r="A25" s="119" t="s">
        <v>508</v>
      </c>
      <c r="B25" s="120" t="s">
        <v>114</v>
      </c>
      <c r="C25" s="128">
        <f>(F18-I7)/I9</f>
        <v>2.9235624103007489</v>
      </c>
      <c r="D25" s="129"/>
      <c r="E25" s="137" t="s">
        <v>576</v>
      </c>
      <c r="F25" s="257">
        <v>3586923</v>
      </c>
      <c r="G25" s="123"/>
      <c r="H25" s="124" t="s">
        <v>510</v>
      </c>
      <c r="I25" s="251">
        <v>232321</v>
      </c>
    </row>
    <row r="26" spans="1:10">
      <c r="A26" s="119" t="s">
        <v>511</v>
      </c>
      <c r="B26" s="120" t="s">
        <v>8</v>
      </c>
      <c r="C26" s="128">
        <f>I9/(I9-I10)</f>
        <v>1.1837382404631449</v>
      </c>
      <c r="D26" s="129"/>
      <c r="E26" s="137" t="s">
        <v>577</v>
      </c>
      <c r="F26" s="251">
        <f>F20</f>
        <v>817071</v>
      </c>
      <c r="G26" s="123"/>
      <c r="H26" s="124" t="s">
        <v>513</v>
      </c>
      <c r="I26" s="273">
        <v>0</v>
      </c>
    </row>
    <row r="27" spans="1:10">
      <c r="A27" s="125" t="s">
        <v>561</v>
      </c>
      <c r="B27" s="267" t="s">
        <v>563</v>
      </c>
      <c r="C27" s="266">
        <f>F5-I31</f>
        <v>15086977</v>
      </c>
      <c r="D27" s="148"/>
      <c r="E27" s="135" t="s">
        <v>514</v>
      </c>
      <c r="F27" s="251">
        <f>SUM(F28:F42)</f>
        <v>5338470</v>
      </c>
      <c r="G27" s="123"/>
      <c r="H27" s="124" t="s">
        <v>515</v>
      </c>
      <c r="I27" s="251">
        <v>882870</v>
      </c>
      <c r="J27" s="107" t="s">
        <v>582</v>
      </c>
    </row>
    <row r="28" spans="1:10">
      <c r="A28" s="119"/>
      <c r="B28" s="141"/>
      <c r="C28" s="147"/>
      <c r="D28" s="148"/>
      <c r="E28" s="137" t="s">
        <v>309</v>
      </c>
      <c r="F28" s="257">
        <v>882058</v>
      </c>
      <c r="G28" s="150"/>
      <c r="H28" s="124" t="s">
        <v>516</v>
      </c>
      <c r="I28" s="251">
        <v>1293249</v>
      </c>
    </row>
    <row r="29" spans="1:10">
      <c r="A29" s="119"/>
      <c r="B29" s="141"/>
      <c r="C29" s="147"/>
      <c r="D29" s="148"/>
      <c r="E29" s="137" t="s">
        <v>509</v>
      </c>
      <c r="F29" s="257">
        <v>991416</v>
      </c>
      <c r="G29" s="123"/>
      <c r="H29" s="124" t="s">
        <v>517</v>
      </c>
      <c r="I29" s="251">
        <v>727813</v>
      </c>
      <c r="J29" s="107" t="s">
        <v>582</v>
      </c>
    </row>
    <row r="30" spans="1:10">
      <c r="A30" s="119"/>
      <c r="B30" s="141"/>
      <c r="C30" s="147"/>
      <c r="D30" s="148"/>
      <c r="E30" s="137" t="s">
        <v>557</v>
      </c>
      <c r="F30" s="257">
        <v>203184</v>
      </c>
      <c r="G30" s="123"/>
      <c r="H30" s="124" t="s">
        <v>518</v>
      </c>
      <c r="I30" s="251">
        <v>1327312</v>
      </c>
      <c r="J30" s="180"/>
    </row>
    <row r="31" spans="1:10">
      <c r="A31" s="285" t="s">
        <v>519</v>
      </c>
      <c r="B31" s="286"/>
      <c r="C31" s="287"/>
      <c r="D31" s="151"/>
      <c r="E31" s="137" t="s">
        <v>576</v>
      </c>
      <c r="F31" s="257">
        <v>467356</v>
      </c>
      <c r="G31" s="123"/>
      <c r="H31" s="145" t="s">
        <v>562</v>
      </c>
      <c r="I31" s="260">
        <v>46112</v>
      </c>
      <c r="J31" s="180"/>
    </row>
    <row r="32" spans="1:10">
      <c r="A32" s="153" t="s">
        <v>520</v>
      </c>
      <c r="B32" s="141"/>
      <c r="C32" s="154"/>
      <c r="D32" s="122"/>
      <c r="E32" s="137" t="s">
        <v>578</v>
      </c>
      <c r="F32" s="257">
        <f>I25+I26</f>
        <v>232321</v>
      </c>
      <c r="G32" s="150"/>
      <c r="H32" s="145"/>
      <c r="I32" s="260"/>
      <c r="J32" s="180"/>
    </row>
    <row r="33" spans="1:14">
      <c r="A33" s="155" t="s">
        <v>522</v>
      </c>
      <c r="B33" s="156"/>
      <c r="C33" s="154"/>
      <c r="D33" s="122"/>
      <c r="E33" s="137" t="s">
        <v>579</v>
      </c>
      <c r="F33" s="257">
        <v>354469</v>
      </c>
      <c r="G33" s="123"/>
      <c r="H33" s="145"/>
      <c r="I33" s="260"/>
      <c r="J33" s="180"/>
    </row>
    <row r="34" spans="1:14">
      <c r="A34" s="157" t="s">
        <v>524</v>
      </c>
      <c r="B34" s="156"/>
      <c r="C34" s="154"/>
      <c r="D34" s="122"/>
      <c r="E34" s="137" t="s">
        <v>444</v>
      </c>
      <c r="F34" s="257">
        <v>192114</v>
      </c>
      <c r="G34" s="123"/>
      <c r="H34" s="145"/>
      <c r="I34" s="158"/>
      <c r="J34" s="180"/>
      <c r="K34" s="265"/>
    </row>
    <row r="35" spans="1:14">
      <c r="A35" s="159" t="s">
        <v>525</v>
      </c>
      <c r="B35" s="141"/>
      <c r="C35" s="154"/>
      <c r="D35" s="122"/>
      <c r="E35" s="137" t="s">
        <v>556</v>
      </c>
      <c r="F35" s="257">
        <v>0</v>
      </c>
      <c r="G35" s="123"/>
      <c r="H35" s="145"/>
      <c r="I35" s="158"/>
      <c r="J35" s="180"/>
      <c r="K35" s="265"/>
    </row>
    <row r="36" spans="1:14">
      <c r="A36" s="119"/>
      <c r="B36" s="141"/>
      <c r="C36" s="154"/>
      <c r="D36" s="122"/>
      <c r="E36" s="137" t="s">
        <v>576</v>
      </c>
      <c r="F36" s="257">
        <v>584044</v>
      </c>
      <c r="G36" s="123"/>
      <c r="H36" s="145" t="s">
        <v>526</v>
      </c>
      <c r="I36" s="261">
        <f>SUM(I32:I35)</f>
        <v>0</v>
      </c>
      <c r="J36" s="180"/>
      <c r="K36" s="268"/>
      <c r="L36" s="265"/>
      <c r="M36" s="265"/>
      <c r="N36" s="265"/>
    </row>
    <row r="37" spans="1:14">
      <c r="A37" s="119"/>
      <c r="B37" s="141"/>
      <c r="C37" s="154"/>
      <c r="D37" s="122"/>
      <c r="E37" s="137" t="s">
        <v>580</v>
      </c>
      <c r="F37" s="257">
        <v>154721</v>
      </c>
      <c r="G37" s="123"/>
      <c r="H37" s="124"/>
      <c r="I37" s="158"/>
      <c r="J37" s="180"/>
      <c r="K37" s="265"/>
      <c r="L37" s="265"/>
      <c r="M37" s="265"/>
      <c r="N37" s="265"/>
    </row>
    <row r="38" spans="1:14">
      <c r="A38" s="119"/>
      <c r="B38" s="141"/>
      <c r="C38" s="154"/>
      <c r="D38" s="122"/>
      <c r="E38" s="137" t="s">
        <v>581</v>
      </c>
      <c r="F38" s="251">
        <v>414541</v>
      </c>
      <c r="G38" s="161"/>
      <c r="H38" s="124" t="s">
        <v>530</v>
      </c>
      <c r="I38" s="261">
        <v>83233</v>
      </c>
      <c r="J38" s="180"/>
      <c r="K38" s="265"/>
    </row>
    <row r="39" spans="1:14" ht="15.6" customHeight="1">
      <c r="A39" s="119"/>
      <c r="B39" s="141"/>
      <c r="C39" s="154"/>
      <c r="D39" s="122"/>
      <c r="E39" s="137" t="s">
        <v>444</v>
      </c>
      <c r="F39" s="251">
        <v>381378</v>
      </c>
      <c r="G39" s="150"/>
      <c r="H39" s="124" t="s">
        <v>531</v>
      </c>
      <c r="I39" s="261">
        <v>653976</v>
      </c>
      <c r="J39" s="269"/>
      <c r="K39" s="271"/>
      <c r="M39" s="265"/>
      <c r="N39" s="265"/>
    </row>
    <row r="40" spans="1:14" ht="15.6" customHeight="1">
      <c r="A40" s="119"/>
      <c r="B40" s="141"/>
      <c r="C40" s="154"/>
      <c r="D40" s="122"/>
      <c r="E40" s="137" t="s">
        <v>556</v>
      </c>
      <c r="F40" s="251">
        <v>248725</v>
      </c>
      <c r="G40" s="150"/>
      <c r="H40" s="124" t="s">
        <v>532</v>
      </c>
      <c r="I40" s="261">
        <v>6785</v>
      </c>
      <c r="J40" s="274"/>
      <c r="K40" s="271"/>
      <c r="M40" s="265"/>
      <c r="N40" s="265"/>
    </row>
    <row r="41" spans="1:14">
      <c r="A41" s="119"/>
      <c r="B41" s="141"/>
      <c r="C41" s="154"/>
      <c r="D41" s="122"/>
      <c r="E41" s="137" t="s">
        <v>576</v>
      </c>
      <c r="F41" s="251">
        <v>232143</v>
      </c>
      <c r="G41" s="162"/>
      <c r="H41" s="163"/>
      <c r="I41" s="164"/>
      <c r="J41" s="180"/>
      <c r="K41" s="265"/>
      <c r="M41" s="265"/>
      <c r="N41" s="265"/>
    </row>
    <row r="42" spans="1:14">
      <c r="A42" s="165"/>
      <c r="B42" s="166"/>
      <c r="C42" s="167"/>
      <c r="D42" s="168"/>
      <c r="E42" s="166" t="s">
        <v>580</v>
      </c>
      <c r="F42" s="251">
        <v>0</v>
      </c>
      <c r="G42" s="169"/>
      <c r="J42" s="180"/>
      <c r="L42" s="265"/>
      <c r="M42" s="265"/>
      <c r="N42" s="265"/>
    </row>
    <row r="43" spans="1:14">
      <c r="F43" s="106"/>
      <c r="G43" s="106"/>
      <c r="H43" s="104" t="s">
        <v>115</v>
      </c>
      <c r="L43" s="272"/>
    </row>
    <row r="44" spans="1:14">
      <c r="E44" s="170"/>
      <c r="F44" s="106"/>
      <c r="G44" s="106"/>
      <c r="H44" s="104" t="s">
        <v>116</v>
      </c>
      <c r="I44" s="262">
        <f>I18</f>
        <v>2965188</v>
      </c>
      <c r="L44" s="265"/>
      <c r="M44" s="265"/>
      <c r="N44" s="265"/>
    </row>
    <row r="45" spans="1:14">
      <c r="F45" s="106"/>
      <c r="G45" s="106"/>
      <c r="H45" s="104" t="s">
        <v>117</v>
      </c>
      <c r="I45" s="262">
        <v>712892</v>
      </c>
      <c r="L45" s="265"/>
      <c r="M45" s="265"/>
      <c r="N45" s="265"/>
    </row>
    <row r="46" spans="1:14">
      <c r="E46" s="170"/>
      <c r="F46" s="106"/>
      <c r="G46" s="106"/>
      <c r="H46" s="104" t="s">
        <v>118</v>
      </c>
      <c r="I46" s="262">
        <f>I39+I40</f>
        <v>660761</v>
      </c>
    </row>
    <row r="47" spans="1:14" ht="14.25" thickBot="1">
      <c r="E47" s="170"/>
      <c r="F47" s="106"/>
      <c r="G47" s="106"/>
      <c r="H47" s="104" t="s">
        <v>119</v>
      </c>
      <c r="I47" s="263">
        <f>I44+I45-I46</f>
        <v>3017319</v>
      </c>
    </row>
    <row r="48" spans="1:14" ht="14.25" thickTop="1">
      <c r="E48" s="170"/>
      <c r="F48" s="106"/>
      <c r="G48" s="106"/>
    </row>
    <row r="59" spans="2:2">
      <c r="B59" s="173"/>
    </row>
    <row r="60" spans="2:2">
      <c r="B60" s="174"/>
    </row>
    <row r="61" spans="2:2">
      <c r="B61" s="173"/>
    </row>
  </sheetData>
  <mergeCells count="1">
    <mergeCell ref="A31:C31"/>
  </mergeCells>
  <phoneticPr fontId="3" type="noConversion"/>
  <pageMargins left="0.7" right="0.7" top="0.75" bottom="0.75" header="0.3" footer="0.3"/>
  <pageSetup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3">
    <tabColor theme="1"/>
  </sheetPr>
  <dimension ref="A1:N73"/>
  <sheetViews>
    <sheetView zoomScale="90" zoomScaleNormal="90" workbookViewId="0">
      <pane xSplit="2" ySplit="2" topLeftCell="C6" activePane="bottomRight" state="frozen"/>
      <selection activeCell="F37" sqref="F37"/>
      <selection pane="topRight" activeCell="F37" sqref="F37"/>
      <selection pane="bottomLeft" activeCell="F37" sqref="F37"/>
      <selection pane="bottomRight" activeCell="F37" sqref="F37"/>
    </sheetView>
  </sheetViews>
  <sheetFormatPr defaultColWidth="35.7109375" defaultRowHeight="13.5"/>
  <cols>
    <col min="1" max="1" width="24" style="104" customWidth="1"/>
    <col min="2" max="2" width="30.140625" style="102" customWidth="1"/>
    <col min="3" max="3" width="13.85546875" style="103" customWidth="1"/>
    <col min="4" max="4" width="4.85546875" style="103" customWidth="1"/>
    <col min="5" max="5" width="43.140625" style="104" customWidth="1"/>
    <col min="6" max="6" width="14.85546875" style="105" customWidth="1"/>
    <col min="7" max="7" width="1.140625" style="105" customWidth="1"/>
    <col min="8" max="8" width="29.28515625" style="104" customWidth="1"/>
    <col min="9" max="9" width="17.85546875" style="106" customWidth="1"/>
    <col min="10" max="10" width="35.7109375" style="107"/>
    <col min="11" max="16384" width="35.7109375" style="104"/>
  </cols>
  <sheetData>
    <row r="1" spans="1:11">
      <c r="A1" s="102" t="s">
        <v>21</v>
      </c>
    </row>
    <row r="2" spans="1:11">
      <c r="A2" s="108" t="s">
        <v>595</v>
      </c>
      <c r="I2" s="109" t="s">
        <v>446</v>
      </c>
    </row>
    <row r="3" spans="1:11">
      <c r="A3" s="110" t="s">
        <v>22</v>
      </c>
      <c r="B3" s="111" t="s">
        <v>1</v>
      </c>
      <c r="C3" s="249">
        <f>F3/F4</f>
        <v>0.55693150548530024</v>
      </c>
      <c r="D3" s="113"/>
      <c r="E3" s="114" t="s">
        <v>23</v>
      </c>
      <c r="F3" s="250">
        <v>19598550</v>
      </c>
      <c r="G3" s="116"/>
      <c r="H3" s="117" t="s">
        <v>447</v>
      </c>
      <c r="I3" s="179">
        <v>23057048</v>
      </c>
    </row>
    <row r="4" spans="1:11">
      <c r="A4" s="119" t="s">
        <v>448</v>
      </c>
      <c r="B4" s="120" t="s">
        <v>201</v>
      </c>
      <c r="C4" s="252">
        <f>SUM(F5:F6)/F7</f>
        <v>1.9967976171021165</v>
      </c>
      <c r="D4" s="122"/>
      <c r="E4" s="119" t="s">
        <v>25</v>
      </c>
      <c r="F4" s="251">
        <v>35190234</v>
      </c>
      <c r="G4" s="123"/>
      <c r="H4" s="124" t="s">
        <v>26</v>
      </c>
      <c r="I4" s="179">
        <v>0</v>
      </c>
    </row>
    <row r="5" spans="1:11">
      <c r="A5" s="125" t="s">
        <v>27</v>
      </c>
      <c r="B5" s="126" t="s">
        <v>2</v>
      </c>
      <c r="C5" s="252">
        <f>F9/F10</f>
        <v>2.2212216387556754</v>
      </c>
      <c r="D5" s="122"/>
      <c r="E5" s="119" t="s">
        <v>449</v>
      </c>
      <c r="F5" s="251">
        <v>15591684</v>
      </c>
      <c r="G5" s="123"/>
      <c r="H5" s="124" t="s">
        <v>450</v>
      </c>
      <c r="I5" s="179">
        <v>4578505</v>
      </c>
      <c r="J5" s="180"/>
    </row>
    <row r="6" spans="1:11">
      <c r="A6" s="119" t="s">
        <v>28</v>
      </c>
      <c r="B6" s="120" t="s">
        <v>451</v>
      </c>
      <c r="C6" s="252">
        <f>(F9-F11-I38)/F10</f>
        <v>1.3676526261840023</v>
      </c>
      <c r="D6" s="122"/>
      <c r="E6" s="119" t="s">
        <v>452</v>
      </c>
      <c r="F6" s="251">
        <v>12670037</v>
      </c>
      <c r="G6" s="123"/>
      <c r="H6" s="124" t="s">
        <v>29</v>
      </c>
      <c r="I6" s="251">
        <f>F9-F10</f>
        <v>8461250</v>
      </c>
      <c r="J6" s="180"/>
    </row>
    <row r="7" spans="1:11">
      <c r="A7" s="119" t="s">
        <v>453</v>
      </c>
      <c r="B7" s="120" t="s">
        <v>3</v>
      </c>
      <c r="C7" s="253">
        <f>F13/F14</f>
        <v>11.093851927378328</v>
      </c>
      <c r="D7" s="129"/>
      <c r="E7" s="119" t="s">
        <v>454</v>
      </c>
      <c r="F7" s="273">
        <v>14153523</v>
      </c>
      <c r="G7" s="123"/>
      <c r="H7" s="124" t="s">
        <v>31</v>
      </c>
      <c r="I7" s="251">
        <f>I47</f>
        <v>9304279.6119999997</v>
      </c>
      <c r="J7" s="180"/>
    </row>
    <row r="8" spans="1:11">
      <c r="A8" s="125" t="s">
        <v>455</v>
      </c>
      <c r="B8" s="126" t="s">
        <v>456</v>
      </c>
      <c r="C8" s="130">
        <f>(F13+I39+I40)/F14</f>
        <v>21.529562679165309</v>
      </c>
      <c r="D8" s="129"/>
      <c r="E8" s="119" t="s">
        <v>457</v>
      </c>
      <c r="F8" s="276">
        <v>1455037</v>
      </c>
      <c r="G8" s="123"/>
      <c r="H8" s="124"/>
      <c r="I8" s="131"/>
      <c r="J8" s="180"/>
    </row>
    <row r="9" spans="1:11">
      <c r="A9" s="119" t="s">
        <v>458</v>
      </c>
      <c r="B9" s="132" t="s">
        <v>549</v>
      </c>
      <c r="C9" s="254">
        <f>F18/3*4/(SUM(I12:I15)/2)</f>
        <v>5.5411238181057509</v>
      </c>
      <c r="D9" s="134"/>
      <c r="E9" s="119" t="s">
        <v>460</v>
      </c>
      <c r="F9" s="251">
        <v>15389763</v>
      </c>
      <c r="G9" s="123"/>
      <c r="H9" s="124" t="s">
        <v>35</v>
      </c>
      <c r="I9" s="251">
        <v>1437518</v>
      </c>
      <c r="J9" s="180"/>
    </row>
    <row r="10" spans="1:11">
      <c r="A10" s="135" t="s">
        <v>461</v>
      </c>
      <c r="B10" s="120" t="s">
        <v>462</v>
      </c>
      <c r="C10" s="253">
        <f>365/C9</f>
        <v>65.871114232703846</v>
      </c>
      <c r="D10" s="136"/>
      <c r="E10" s="137" t="s">
        <v>463</v>
      </c>
      <c r="F10" s="251">
        <v>6928513</v>
      </c>
      <c r="G10" s="123"/>
      <c r="H10" s="124" t="s">
        <v>464</v>
      </c>
      <c r="I10" s="251">
        <v>187327</v>
      </c>
      <c r="J10" s="180"/>
    </row>
    <row r="11" spans="1:11">
      <c r="A11" s="135" t="s">
        <v>465</v>
      </c>
      <c r="B11" s="132" t="s">
        <v>550</v>
      </c>
      <c r="C11" s="253">
        <f>I18/3*4/(SUM(I16+I17)/2)</f>
        <v>1.8721502973101838</v>
      </c>
      <c r="D11" s="129"/>
      <c r="E11" s="119" t="s">
        <v>467</v>
      </c>
      <c r="F11" s="251">
        <v>5832006</v>
      </c>
      <c r="G11" s="123"/>
      <c r="H11" s="124" t="s">
        <v>41</v>
      </c>
      <c r="I11" s="251">
        <f>F13-F14</f>
        <v>1890851</v>
      </c>
    </row>
    <row r="12" spans="1:11">
      <c r="A12" s="119" t="s">
        <v>468</v>
      </c>
      <c r="B12" s="177" t="s">
        <v>551</v>
      </c>
      <c r="C12" s="255">
        <f>I18/3*4/(SUM(I27:I30)/2)</f>
        <v>5.4944697502592001</v>
      </c>
      <c r="D12" s="140"/>
      <c r="E12" s="119" t="s">
        <v>470</v>
      </c>
      <c r="F12" s="251">
        <v>296670</v>
      </c>
      <c r="G12" s="123"/>
      <c r="H12" s="124" t="s">
        <v>471</v>
      </c>
      <c r="I12" s="251">
        <v>266614</v>
      </c>
      <c r="J12" s="180"/>
      <c r="K12" s="265"/>
    </row>
    <row r="13" spans="1:11">
      <c r="A13" s="119" t="s">
        <v>472</v>
      </c>
      <c r="B13" s="141" t="s">
        <v>600</v>
      </c>
      <c r="C13" s="253">
        <f>365/C11</f>
        <v>194.96297948108898</v>
      </c>
      <c r="D13" s="136"/>
      <c r="E13" s="135" t="s">
        <v>473</v>
      </c>
      <c r="F13" s="273">
        <f>1890851+187327</f>
        <v>2078178</v>
      </c>
      <c r="G13" s="123"/>
      <c r="H13" s="142" t="s">
        <v>474</v>
      </c>
      <c r="I13" s="251">
        <v>2728976</v>
      </c>
      <c r="J13" s="180"/>
      <c r="K13" s="265"/>
    </row>
    <row r="14" spans="1:11">
      <c r="A14" s="119" t="s">
        <v>475</v>
      </c>
      <c r="B14" s="143" t="s">
        <v>552</v>
      </c>
      <c r="C14" s="253">
        <f>F18/3*4/I23</f>
        <v>1.2058190389586962</v>
      </c>
      <c r="D14" s="129"/>
      <c r="E14" s="135" t="s">
        <v>477</v>
      </c>
      <c r="F14" s="179">
        <v>187327</v>
      </c>
      <c r="G14" s="123"/>
      <c r="H14" s="142" t="s">
        <v>478</v>
      </c>
      <c r="I14" s="251">
        <v>184976</v>
      </c>
      <c r="J14" s="180"/>
    </row>
    <row r="15" spans="1:11">
      <c r="A15" s="119" t="s">
        <v>479</v>
      </c>
      <c r="B15" s="144" t="s">
        <v>553</v>
      </c>
      <c r="C15" s="253">
        <f>F18/3*4/F16</f>
        <v>0.50833718289001573</v>
      </c>
      <c r="D15" s="129"/>
      <c r="E15" s="119" t="s">
        <v>49</v>
      </c>
      <c r="F15" s="251">
        <v>1449914</v>
      </c>
      <c r="G15" s="123"/>
      <c r="H15" s="142" t="s">
        <v>481</v>
      </c>
      <c r="I15" s="179">
        <v>2929717</v>
      </c>
      <c r="J15" s="180"/>
      <c r="K15" s="265"/>
    </row>
    <row r="16" spans="1:11">
      <c r="A16" s="135" t="s">
        <v>482</v>
      </c>
      <c r="B16" s="144" t="s">
        <v>554</v>
      </c>
      <c r="C16" s="252">
        <f>(F15+I10*0.8)/3*4/F16</f>
        <v>6.4050201261949935E-2</v>
      </c>
      <c r="D16" s="122"/>
      <c r="E16" s="119" t="s">
        <v>484</v>
      </c>
      <c r="F16" s="251">
        <f>(F4+I22)/2</f>
        <v>33302536</v>
      </c>
      <c r="G16" s="123"/>
      <c r="H16" s="124" t="s">
        <v>485</v>
      </c>
      <c r="I16" s="179">
        <v>6078323</v>
      </c>
      <c r="J16" s="180"/>
      <c r="K16" s="265"/>
    </row>
    <row r="17" spans="1:11">
      <c r="A17" s="119" t="s">
        <v>486</v>
      </c>
      <c r="B17" s="144" t="s">
        <v>136</v>
      </c>
      <c r="C17" s="252">
        <f>F15/3*4/F17</f>
        <v>0.12795347512191463</v>
      </c>
      <c r="D17" s="122"/>
      <c r="E17" s="119" t="s">
        <v>488</v>
      </c>
      <c r="F17" s="251">
        <f>(F5+I21)/2</f>
        <v>15108762.5</v>
      </c>
      <c r="G17" s="123"/>
      <c r="H17" s="145" t="s">
        <v>489</v>
      </c>
      <c r="I17" s="179">
        <v>6809732</v>
      </c>
      <c r="K17" s="265"/>
    </row>
    <row r="18" spans="1:11">
      <c r="A18" s="119" t="s">
        <v>490</v>
      </c>
      <c r="B18" s="141" t="s">
        <v>491</v>
      </c>
      <c r="C18" s="252">
        <f>I9/I19</f>
        <v>0.86693354818944324</v>
      </c>
      <c r="D18" s="122"/>
      <c r="E18" s="119" t="s">
        <v>58</v>
      </c>
      <c r="F18" s="251">
        <v>12696688</v>
      </c>
      <c r="G18" s="123"/>
      <c r="H18" s="124" t="s">
        <v>492</v>
      </c>
      <c r="I18" s="251">
        <v>9048141</v>
      </c>
      <c r="K18" s="265"/>
    </row>
    <row r="19" spans="1:11">
      <c r="A19" s="119" t="s">
        <v>493</v>
      </c>
      <c r="B19" s="141" t="s">
        <v>494</v>
      </c>
      <c r="C19" s="252">
        <f>I11/I19</f>
        <v>1.1403280978238581</v>
      </c>
      <c r="D19" s="122"/>
      <c r="E19" s="119" t="s">
        <v>495</v>
      </c>
      <c r="F19" s="251">
        <v>165816</v>
      </c>
      <c r="G19" s="123"/>
      <c r="H19" s="124" t="s">
        <v>62</v>
      </c>
      <c r="I19" s="251">
        <v>1658164</v>
      </c>
      <c r="K19" s="265"/>
    </row>
    <row r="20" spans="1:11">
      <c r="A20" s="119" t="s">
        <v>496</v>
      </c>
      <c r="B20" s="146" t="s">
        <v>5</v>
      </c>
      <c r="C20" s="252">
        <f>F15/F18</f>
        <v>0.11419623763299531</v>
      </c>
      <c r="D20" s="122"/>
      <c r="E20" s="119" t="s">
        <v>64</v>
      </c>
      <c r="F20" s="251">
        <v>3358073.6025839136</v>
      </c>
      <c r="G20" s="123"/>
      <c r="H20" s="124" t="s">
        <v>497</v>
      </c>
      <c r="I20" s="276">
        <v>13925180</v>
      </c>
    </row>
    <row r="21" spans="1:11">
      <c r="A21" s="135" t="s">
        <v>498</v>
      </c>
      <c r="B21" s="120" t="s">
        <v>6</v>
      </c>
      <c r="C21" s="253">
        <f>F8/F19</f>
        <v>8.7750096492497711</v>
      </c>
      <c r="D21" s="129"/>
      <c r="E21" s="119" t="s">
        <v>66</v>
      </c>
      <c r="F21" s="251">
        <f>SUM(F22:F26)</f>
        <v>14962807</v>
      </c>
      <c r="G21" s="123"/>
      <c r="H21" s="124" t="s">
        <v>499</v>
      </c>
      <c r="I21" s="179">
        <v>14625841</v>
      </c>
      <c r="J21" s="264"/>
      <c r="K21" s="265"/>
    </row>
    <row r="22" spans="1:11">
      <c r="A22" s="119" t="s">
        <v>500</v>
      </c>
      <c r="B22" s="144" t="s">
        <v>555</v>
      </c>
      <c r="C22" s="256">
        <f>F20/3*4/F10</f>
        <v>0.64623267216383729</v>
      </c>
      <c r="D22" s="122"/>
      <c r="E22" s="137" t="s">
        <v>309</v>
      </c>
      <c r="F22" s="257">
        <v>3835469</v>
      </c>
      <c r="G22" s="123"/>
      <c r="H22" s="124" t="s">
        <v>502</v>
      </c>
      <c r="I22" s="179">
        <v>31414838</v>
      </c>
      <c r="J22" s="180"/>
      <c r="K22" s="265"/>
    </row>
    <row r="23" spans="1:11">
      <c r="A23" s="119" t="s">
        <v>503</v>
      </c>
      <c r="B23" s="120" t="s">
        <v>7</v>
      </c>
      <c r="C23" s="258">
        <f>F21/F27</f>
        <v>2.3074158090015513</v>
      </c>
      <c r="D23" s="122"/>
      <c r="E23" s="137" t="s">
        <v>509</v>
      </c>
      <c r="F23" s="257">
        <v>3449192</v>
      </c>
      <c r="G23" s="123"/>
      <c r="H23" s="124" t="s">
        <v>504</v>
      </c>
      <c r="I23" s="179">
        <f>(F7+I20)/2</f>
        <v>14039351.5</v>
      </c>
      <c r="K23" s="265"/>
    </row>
    <row r="24" spans="1:11">
      <c r="A24" s="119" t="s">
        <v>505</v>
      </c>
      <c r="B24" s="120" t="s">
        <v>506</v>
      </c>
      <c r="C24" s="121">
        <f>(F20-I24)/SUM(I3:I6)</f>
        <v>7.9248696971416371E-2</v>
      </c>
      <c r="D24" s="122"/>
      <c r="E24" s="137" t="s">
        <v>557</v>
      </c>
      <c r="F24" s="257">
        <v>3925407</v>
      </c>
      <c r="G24" s="123"/>
      <c r="H24" s="124" t="s">
        <v>507</v>
      </c>
      <c r="I24" s="251">
        <f>F42</f>
        <v>497449</v>
      </c>
      <c r="K24" s="265"/>
    </row>
    <row r="25" spans="1:11">
      <c r="A25" s="119" t="s">
        <v>508</v>
      </c>
      <c r="B25" s="120" t="s">
        <v>114</v>
      </c>
      <c r="C25" s="128">
        <f>(F18-I7)/I9</f>
        <v>2.3599067197767263</v>
      </c>
      <c r="D25" s="129"/>
      <c r="E25" s="137" t="s">
        <v>576</v>
      </c>
      <c r="F25" s="257">
        <v>3586923</v>
      </c>
      <c r="G25" s="123"/>
      <c r="H25" s="124" t="s">
        <v>510</v>
      </c>
      <c r="I25" s="251">
        <v>538334</v>
      </c>
      <c r="K25" s="265"/>
    </row>
    <row r="26" spans="1:11">
      <c r="A26" s="119" t="s">
        <v>511</v>
      </c>
      <c r="B26" s="120" t="s">
        <v>8</v>
      </c>
      <c r="C26" s="128">
        <f>I9/(I9-I10)</f>
        <v>1.1498387046459302</v>
      </c>
      <c r="D26" s="129"/>
      <c r="E26" s="137" t="s">
        <v>597</v>
      </c>
      <c r="F26" s="251">
        <f>F19</f>
        <v>165816</v>
      </c>
      <c r="G26" s="123"/>
      <c r="H26" s="124" t="s">
        <v>513</v>
      </c>
      <c r="I26" s="276">
        <v>0</v>
      </c>
    </row>
    <row r="27" spans="1:11">
      <c r="A27" s="125" t="s">
        <v>561</v>
      </c>
      <c r="B27" s="267" t="s">
        <v>563</v>
      </c>
      <c r="C27" s="266">
        <f>F5-I31</f>
        <v>15540316</v>
      </c>
      <c r="D27" s="148"/>
      <c r="E27" s="135" t="s">
        <v>514</v>
      </c>
      <c r="F27" s="251">
        <f>SUM(F28:F42)</f>
        <v>6484660</v>
      </c>
      <c r="G27" s="123"/>
      <c r="H27" s="124" t="s">
        <v>515</v>
      </c>
      <c r="I27" s="179">
        <v>882870</v>
      </c>
      <c r="J27" s="107" t="s">
        <v>582</v>
      </c>
    </row>
    <row r="28" spans="1:11">
      <c r="A28" s="119"/>
      <c r="B28" s="141"/>
      <c r="C28" s="147"/>
      <c r="D28" s="148"/>
      <c r="E28" s="137" t="s">
        <v>309</v>
      </c>
      <c r="F28" s="257">
        <v>882058</v>
      </c>
      <c r="G28" s="150"/>
      <c r="H28" s="124" t="s">
        <v>516</v>
      </c>
      <c r="I28" s="179">
        <v>1293249</v>
      </c>
    </row>
    <row r="29" spans="1:11">
      <c r="A29" s="119"/>
      <c r="B29" s="141"/>
      <c r="C29" s="147"/>
      <c r="D29" s="148"/>
      <c r="E29" s="137" t="s">
        <v>509</v>
      </c>
      <c r="F29" s="257">
        <v>991416</v>
      </c>
      <c r="G29" s="123"/>
      <c r="H29" s="124" t="s">
        <v>517</v>
      </c>
      <c r="I29" s="276">
        <v>895630</v>
      </c>
      <c r="J29" s="107" t="s">
        <v>582</v>
      </c>
    </row>
    <row r="30" spans="1:11">
      <c r="A30" s="119"/>
      <c r="B30" s="141"/>
      <c r="C30" s="147"/>
      <c r="D30" s="148"/>
      <c r="E30" s="137" t="s">
        <v>557</v>
      </c>
      <c r="F30" s="257">
        <v>203184</v>
      </c>
      <c r="G30" s="123"/>
      <c r="H30" s="124" t="s">
        <v>518</v>
      </c>
      <c r="I30" s="276">
        <v>1319644</v>
      </c>
      <c r="J30" s="180"/>
    </row>
    <row r="31" spans="1:11">
      <c r="A31" s="285" t="s">
        <v>519</v>
      </c>
      <c r="B31" s="286"/>
      <c r="C31" s="287"/>
      <c r="D31" s="151"/>
      <c r="E31" s="137" t="s">
        <v>576</v>
      </c>
      <c r="F31" s="257">
        <v>467356</v>
      </c>
      <c r="G31" s="123"/>
      <c r="H31" s="145" t="s">
        <v>562</v>
      </c>
      <c r="I31" s="260">
        <v>51368</v>
      </c>
      <c r="J31" s="180"/>
    </row>
    <row r="32" spans="1:11">
      <c r="A32" s="153" t="s">
        <v>520</v>
      </c>
      <c r="B32" s="141"/>
      <c r="C32" s="154"/>
      <c r="D32" s="122"/>
      <c r="E32" s="277" t="s">
        <v>599</v>
      </c>
      <c r="F32" s="257">
        <f>I24+I25</f>
        <v>1035783</v>
      </c>
      <c r="G32" s="150"/>
      <c r="H32" s="145"/>
      <c r="I32" s="260"/>
      <c r="J32" s="180"/>
    </row>
    <row r="33" spans="1:14">
      <c r="A33" s="155" t="s">
        <v>522</v>
      </c>
      <c r="B33" s="156"/>
      <c r="C33" s="154"/>
      <c r="D33" s="122"/>
      <c r="E33" s="137" t="s">
        <v>579</v>
      </c>
      <c r="F33" s="257">
        <v>354469</v>
      </c>
      <c r="G33" s="123"/>
      <c r="H33" s="145"/>
      <c r="I33" s="260"/>
      <c r="J33" s="180"/>
      <c r="K33" s="265"/>
    </row>
    <row r="34" spans="1:14">
      <c r="A34" s="157" t="s">
        <v>524</v>
      </c>
      <c r="B34" s="156"/>
      <c r="C34" s="154"/>
      <c r="D34" s="122"/>
      <c r="E34" s="137" t="s">
        <v>444</v>
      </c>
      <c r="F34" s="257">
        <v>192114</v>
      </c>
      <c r="G34" s="123"/>
      <c r="H34" s="145"/>
      <c r="I34" s="158"/>
      <c r="J34" s="180">
        <v>564996.85700000008</v>
      </c>
      <c r="K34" s="265"/>
    </row>
    <row r="35" spans="1:14">
      <c r="A35" s="159" t="s">
        <v>525</v>
      </c>
      <c r="B35" s="141"/>
      <c r="C35" s="154"/>
      <c r="D35" s="122"/>
      <c r="E35" s="137" t="s">
        <v>556</v>
      </c>
      <c r="F35" s="257">
        <v>0</v>
      </c>
      <c r="G35" s="123"/>
      <c r="H35" s="145"/>
      <c r="I35" s="158"/>
      <c r="J35" s="180">
        <v>72279.150999999998</v>
      </c>
      <c r="K35" s="265"/>
    </row>
    <row r="36" spans="1:14">
      <c r="A36" s="119"/>
      <c r="B36" s="141"/>
      <c r="C36" s="154"/>
      <c r="D36" s="122"/>
      <c r="E36" s="137" t="s">
        <v>576</v>
      </c>
      <c r="F36" s="257">
        <v>584044</v>
      </c>
      <c r="G36" s="123"/>
      <c r="H36" s="145" t="s">
        <v>526</v>
      </c>
      <c r="I36" s="261">
        <f>SUM(I32:I35)</f>
        <v>0</v>
      </c>
      <c r="J36" s="180"/>
      <c r="K36" s="268"/>
      <c r="L36" s="265"/>
      <c r="M36" s="265"/>
      <c r="N36" s="265"/>
    </row>
    <row r="37" spans="1:14">
      <c r="A37" s="119"/>
      <c r="B37" s="141"/>
      <c r="C37" s="154"/>
      <c r="D37" s="122"/>
      <c r="E37" s="277" t="s">
        <v>596</v>
      </c>
      <c r="F37" s="257">
        <v>0</v>
      </c>
      <c r="G37" s="123"/>
      <c r="H37" s="124"/>
      <c r="I37" s="158"/>
      <c r="J37" s="180"/>
      <c r="K37" s="265"/>
      <c r="L37" s="265"/>
      <c r="M37" s="265"/>
      <c r="N37" s="265"/>
    </row>
    <row r="38" spans="1:14">
      <c r="A38" s="119"/>
      <c r="B38" s="141"/>
      <c r="C38" s="154"/>
      <c r="D38" s="122"/>
      <c r="E38" s="137" t="s">
        <v>581</v>
      </c>
      <c r="F38" s="251">
        <v>414541</v>
      </c>
      <c r="G38" s="161"/>
      <c r="H38" s="124" t="s">
        <v>530</v>
      </c>
      <c r="I38" s="276">
        <v>81958</v>
      </c>
      <c r="J38" s="180"/>
      <c r="K38" s="265"/>
    </row>
    <row r="39" spans="1:14" ht="15.6" customHeight="1">
      <c r="A39" s="119"/>
      <c r="B39" s="141"/>
      <c r="C39" s="154"/>
      <c r="D39" s="122"/>
      <c r="E39" s="137" t="s">
        <v>444</v>
      </c>
      <c r="F39" s="251">
        <v>381378</v>
      </c>
      <c r="G39" s="150"/>
      <c r="H39" s="124" t="s">
        <v>531</v>
      </c>
      <c r="I39" s="276">
        <v>1932922.9109999998</v>
      </c>
      <c r="J39" s="269"/>
      <c r="K39" s="275"/>
      <c r="M39" s="265"/>
      <c r="N39" s="265"/>
    </row>
    <row r="40" spans="1:14" ht="15.6" customHeight="1">
      <c r="A40" s="119"/>
      <c r="B40" s="141"/>
      <c r="C40" s="154"/>
      <c r="D40" s="122"/>
      <c r="E40" s="137" t="s">
        <v>556</v>
      </c>
      <c r="F40" s="251">
        <v>248725</v>
      </c>
      <c r="G40" s="150"/>
      <c r="H40" s="124" t="s">
        <v>532</v>
      </c>
      <c r="I40" s="179">
        <v>21967.476999999999</v>
      </c>
      <c r="J40" s="274"/>
      <c r="K40" s="275"/>
      <c r="M40" s="265"/>
      <c r="N40" s="265"/>
    </row>
    <row r="41" spans="1:14">
      <c r="A41" s="119"/>
      <c r="B41" s="141"/>
      <c r="C41" s="154"/>
      <c r="D41" s="122"/>
      <c r="E41" s="137" t="s">
        <v>576</v>
      </c>
      <c r="F41" s="179">
        <v>232143</v>
      </c>
      <c r="G41" s="162"/>
      <c r="H41" s="163"/>
      <c r="I41" s="164"/>
      <c r="J41" s="180"/>
      <c r="K41" s="265"/>
      <c r="M41" s="265"/>
      <c r="N41" s="265"/>
    </row>
    <row r="42" spans="1:14">
      <c r="A42" s="165"/>
      <c r="B42" s="166"/>
      <c r="C42" s="167"/>
      <c r="D42" s="168"/>
      <c r="E42" s="278" t="s">
        <v>596</v>
      </c>
      <c r="F42" s="179">
        <v>497449</v>
      </c>
      <c r="G42" s="169"/>
      <c r="J42" s="180"/>
      <c r="K42" s="265"/>
      <c r="L42" s="265"/>
      <c r="M42" s="265"/>
      <c r="N42" s="265"/>
    </row>
    <row r="43" spans="1:14">
      <c r="E43" s="170"/>
      <c r="F43" s="106"/>
      <c r="G43" s="106"/>
      <c r="H43" s="104" t="s">
        <v>115</v>
      </c>
      <c r="K43" s="265"/>
      <c r="L43" s="272"/>
    </row>
    <row r="44" spans="1:14">
      <c r="G44" s="106"/>
      <c r="H44" s="104" t="s">
        <v>116</v>
      </c>
      <c r="I44" s="262">
        <f>I18</f>
        <v>9048141</v>
      </c>
      <c r="K44" s="265"/>
      <c r="L44" s="265"/>
      <c r="M44" s="265"/>
      <c r="N44" s="265"/>
    </row>
    <row r="45" spans="1:14">
      <c r="E45" s="170"/>
      <c r="F45" s="106"/>
      <c r="G45" s="106"/>
      <c r="H45" s="104" t="s">
        <v>117</v>
      </c>
      <c r="I45" s="262">
        <v>2211029</v>
      </c>
      <c r="K45" s="265"/>
      <c r="L45" s="265"/>
      <c r="M45" s="265"/>
      <c r="N45" s="265"/>
    </row>
    <row r="46" spans="1:14">
      <c r="F46" s="106"/>
      <c r="G46" s="106"/>
      <c r="H46" s="104" t="s">
        <v>118</v>
      </c>
      <c r="I46" s="262">
        <f>I39+I40</f>
        <v>1954890.3879999998</v>
      </c>
      <c r="K46" s="265"/>
    </row>
    <row r="47" spans="1:14" ht="14.25" thickBot="1">
      <c r="E47" s="170"/>
      <c r="F47" s="106"/>
      <c r="G47" s="106"/>
      <c r="H47" s="104" t="s">
        <v>119</v>
      </c>
      <c r="I47" s="263">
        <f>I44+I45-I46</f>
        <v>9304279.6119999997</v>
      </c>
      <c r="K47" s="265"/>
    </row>
    <row r="48" spans="1:14" ht="14.25" thickTop="1">
      <c r="E48" s="170"/>
      <c r="F48" s="106"/>
      <c r="G48" s="106"/>
      <c r="K48" s="265"/>
    </row>
    <row r="49" spans="2:11">
      <c r="E49" s="170"/>
      <c r="F49" s="106"/>
    </row>
    <row r="50" spans="2:11">
      <c r="J50" s="180"/>
      <c r="K50" s="265"/>
    </row>
    <row r="51" spans="2:11">
      <c r="J51" s="180"/>
      <c r="K51" s="265"/>
    </row>
    <row r="53" spans="2:11">
      <c r="J53" s="180"/>
    </row>
    <row r="54" spans="2:11">
      <c r="E54" s="265"/>
      <c r="H54" s="265"/>
      <c r="J54" s="180"/>
    </row>
    <row r="55" spans="2:11">
      <c r="E55" s="265"/>
      <c r="H55" s="265"/>
    </row>
    <row r="56" spans="2:11">
      <c r="E56" s="265"/>
      <c r="F56" s="105" t="s">
        <v>598</v>
      </c>
      <c r="H56" s="265"/>
    </row>
    <row r="57" spans="2:11">
      <c r="E57" s="265"/>
      <c r="H57" s="265"/>
    </row>
    <row r="59" spans="2:11">
      <c r="B59" s="173"/>
    </row>
    <row r="60" spans="2:11">
      <c r="B60" s="174"/>
    </row>
    <row r="61" spans="2:11">
      <c r="B61" s="173"/>
    </row>
    <row r="63" spans="2:11">
      <c r="H63" s="265"/>
    </row>
    <row r="66" spans="8:8">
      <c r="H66" s="265"/>
    </row>
    <row r="67" spans="8:8">
      <c r="H67" s="265"/>
    </row>
    <row r="73" spans="8:8">
      <c r="H73" s="265"/>
    </row>
  </sheetData>
  <mergeCells count="1">
    <mergeCell ref="A31:C31"/>
  </mergeCells>
  <phoneticPr fontId="38" type="noConversion"/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3">
    <tabColor theme="1"/>
  </sheetPr>
  <dimension ref="A1:N61"/>
  <sheetViews>
    <sheetView zoomScale="90" zoomScaleNormal="90" workbookViewId="0">
      <pane xSplit="2" ySplit="2" topLeftCell="C6" activePane="bottomRight" state="frozen"/>
      <selection pane="topRight" activeCell="C1" sqref="C1"/>
      <selection pane="bottomLeft" activeCell="A3" sqref="A3"/>
      <selection pane="bottomRight" activeCell="E24" sqref="E24"/>
    </sheetView>
  </sheetViews>
  <sheetFormatPr defaultColWidth="35.7109375" defaultRowHeight="13.5"/>
  <cols>
    <col min="1" max="1" width="24" style="104" customWidth="1"/>
    <col min="2" max="2" width="29.5703125" style="102" customWidth="1"/>
    <col min="3" max="3" width="13.85546875" style="103" customWidth="1"/>
    <col min="4" max="4" width="2.85546875" style="103" customWidth="1"/>
    <col min="5" max="5" width="43.140625" style="104" customWidth="1"/>
    <col min="6" max="6" width="14.85546875" style="105" customWidth="1"/>
    <col min="7" max="7" width="1.140625" style="105" customWidth="1"/>
    <col min="8" max="8" width="29.28515625" style="104" customWidth="1"/>
    <col min="9" max="9" width="17.85546875" style="106" customWidth="1"/>
    <col min="10" max="10" width="35.7109375" style="107"/>
    <col min="11" max="16384" width="35.7109375" style="104"/>
  </cols>
  <sheetData>
    <row r="1" spans="1:11">
      <c r="A1" s="102" t="s">
        <v>21</v>
      </c>
    </row>
    <row r="2" spans="1:11">
      <c r="A2" s="108" t="s">
        <v>591</v>
      </c>
      <c r="I2" s="109" t="s">
        <v>446</v>
      </c>
    </row>
    <row r="3" spans="1:11">
      <c r="A3" s="110" t="s">
        <v>22</v>
      </c>
      <c r="B3" s="111" t="s">
        <v>1</v>
      </c>
      <c r="C3" s="249">
        <f>F3/F4</f>
        <v>0.55748402686678511</v>
      </c>
      <c r="D3" s="113"/>
      <c r="E3" s="114" t="s">
        <v>23</v>
      </c>
      <c r="F3" s="250">
        <v>18966270</v>
      </c>
      <c r="G3" s="116"/>
      <c r="H3" s="117" t="s">
        <v>447</v>
      </c>
      <c r="I3" s="179">
        <v>22929946</v>
      </c>
    </row>
    <row r="4" spans="1:11">
      <c r="A4" s="119" t="s">
        <v>448</v>
      </c>
      <c r="B4" s="120" t="s">
        <v>201</v>
      </c>
      <c r="C4" s="252">
        <f>SUM(F5:F6)/F7</f>
        <v>1.9035128193605606</v>
      </c>
      <c r="D4" s="122"/>
      <c r="E4" s="119" t="s">
        <v>25</v>
      </c>
      <c r="F4" s="251">
        <v>34021190</v>
      </c>
      <c r="G4" s="123"/>
      <c r="H4" s="124" t="s">
        <v>26</v>
      </c>
      <c r="I4" s="179">
        <v>0</v>
      </c>
    </row>
    <row r="5" spans="1:11">
      <c r="A5" s="125" t="s">
        <v>27</v>
      </c>
      <c r="B5" s="126" t="s">
        <v>2</v>
      </c>
      <c r="C5" s="252">
        <f>F9/F10</f>
        <v>2.0195476563510657</v>
      </c>
      <c r="D5" s="122"/>
      <c r="E5" s="119" t="s">
        <v>449</v>
      </c>
      <c r="F5" s="251">
        <v>15057920</v>
      </c>
      <c r="G5" s="123"/>
      <c r="H5" s="124" t="s">
        <v>450</v>
      </c>
      <c r="I5" s="179">
        <f>19973995-14219547-638479-362543-54409</f>
        <v>4699017</v>
      </c>
      <c r="J5" s="180"/>
    </row>
    <row r="6" spans="1:11">
      <c r="A6" s="119" t="s">
        <v>28</v>
      </c>
      <c r="B6" s="120" t="s">
        <v>451</v>
      </c>
      <c r="C6" s="252">
        <f>(F9-F11-I38)/F10</f>
        <v>1.2144032714780584</v>
      </c>
      <c r="D6" s="122"/>
      <c r="E6" s="119" t="s">
        <v>452</v>
      </c>
      <c r="F6" s="251">
        <v>12009170</v>
      </c>
      <c r="G6" s="123"/>
      <c r="H6" s="124" t="s">
        <v>29</v>
      </c>
      <c r="I6" s="251">
        <f>F9-F10</f>
        <v>7093095</v>
      </c>
      <c r="J6" s="180"/>
    </row>
    <row r="7" spans="1:11">
      <c r="A7" s="119" t="s">
        <v>453</v>
      </c>
      <c r="B7" s="120" t="s">
        <v>3</v>
      </c>
      <c r="C7" s="253">
        <f>F13/F14</f>
        <v>10.803871153344781</v>
      </c>
      <c r="D7" s="129"/>
      <c r="E7" s="119" t="s">
        <v>454</v>
      </c>
      <c r="F7" s="273">
        <v>14219547</v>
      </c>
      <c r="G7" s="123"/>
      <c r="H7" s="124" t="s">
        <v>31</v>
      </c>
      <c r="I7" s="251">
        <f>I47</f>
        <v>5951377</v>
      </c>
      <c r="J7" s="180"/>
    </row>
    <row r="8" spans="1:11">
      <c r="A8" s="125" t="s">
        <v>455</v>
      </c>
      <c r="B8" s="126" t="s">
        <v>456</v>
      </c>
      <c r="C8" s="130">
        <f>(F13+I39+I40)/F14</f>
        <v>22.531083401508546</v>
      </c>
      <c r="D8" s="129"/>
      <c r="E8" s="119" t="s">
        <v>457</v>
      </c>
      <c r="F8" s="251">
        <v>921815</v>
      </c>
      <c r="G8" s="123"/>
      <c r="H8" s="124"/>
      <c r="I8" s="131"/>
      <c r="J8" s="180"/>
    </row>
    <row r="9" spans="1:11">
      <c r="A9" s="119" t="s">
        <v>458</v>
      </c>
      <c r="B9" s="132" t="s">
        <v>534</v>
      </c>
      <c r="C9" s="254">
        <f>F18*2/(SUM(I12:I15)/2)</f>
        <v>5.3634073358921883</v>
      </c>
      <c r="D9" s="134"/>
      <c r="E9" s="119" t="s">
        <v>460</v>
      </c>
      <c r="F9" s="251">
        <v>14050195</v>
      </c>
      <c r="G9" s="123"/>
      <c r="H9" s="124" t="s">
        <v>35</v>
      </c>
      <c r="I9" s="251">
        <v>918756</v>
      </c>
      <c r="J9" s="180"/>
    </row>
    <row r="10" spans="1:11">
      <c r="A10" s="135" t="s">
        <v>461</v>
      </c>
      <c r="B10" s="120" t="s">
        <v>462</v>
      </c>
      <c r="C10" s="253">
        <f>365/C9</f>
        <v>68.053753358877273</v>
      </c>
      <c r="D10" s="136"/>
      <c r="E10" s="137" t="s">
        <v>463</v>
      </c>
      <c r="F10" s="251">
        <v>6957100</v>
      </c>
      <c r="G10" s="123"/>
      <c r="H10" s="124" t="s">
        <v>464</v>
      </c>
      <c r="I10" s="251">
        <f>F14</f>
        <v>111233</v>
      </c>
      <c r="J10" s="180"/>
    </row>
    <row r="11" spans="1:11">
      <c r="A11" s="135" t="s">
        <v>465</v>
      </c>
      <c r="B11" s="132" t="s">
        <v>535</v>
      </c>
      <c r="C11" s="253">
        <f>I18*2/(SUM(I16+I17)/2)</f>
        <v>1.8536475245731361</v>
      </c>
      <c r="D11" s="129"/>
      <c r="E11" s="119" t="s">
        <v>467</v>
      </c>
      <c r="F11" s="251">
        <v>5526096</v>
      </c>
      <c r="G11" s="123"/>
      <c r="H11" s="124" t="s">
        <v>41</v>
      </c>
      <c r="I11" s="251">
        <f>F13-F14</f>
        <v>1090514</v>
      </c>
    </row>
    <row r="12" spans="1:11">
      <c r="A12" s="119" t="s">
        <v>468</v>
      </c>
      <c r="B12" s="177" t="s">
        <v>536</v>
      </c>
      <c r="C12" s="255">
        <f>I18*2/(SUM(I27:I30)/2)</f>
        <v>5.4407960450383559</v>
      </c>
      <c r="D12" s="140"/>
      <c r="E12" s="119" t="s">
        <v>470</v>
      </c>
      <c r="F12" s="251">
        <v>274198</v>
      </c>
      <c r="G12" s="123"/>
      <c r="H12" s="124" t="s">
        <v>471</v>
      </c>
      <c r="I12" s="251">
        <v>266614</v>
      </c>
      <c r="J12" s="180"/>
      <c r="K12" s="265"/>
    </row>
    <row r="13" spans="1:11">
      <c r="A13" s="119" t="s">
        <v>472</v>
      </c>
      <c r="B13" s="141" t="s">
        <v>4</v>
      </c>
      <c r="C13" s="253">
        <f>365/C11</f>
        <v>196.90906451271169</v>
      </c>
      <c r="D13" s="136"/>
      <c r="E13" s="135" t="s">
        <v>473</v>
      </c>
      <c r="F13" s="273">
        <f>1090514+111233</f>
        <v>1201747</v>
      </c>
      <c r="G13" s="123"/>
      <c r="H13" s="142" t="s">
        <v>474</v>
      </c>
      <c r="I13" s="251">
        <v>2728976</v>
      </c>
      <c r="J13" s="180"/>
      <c r="K13" s="265"/>
    </row>
    <row r="14" spans="1:11">
      <c r="A14" s="119" t="s">
        <v>475</v>
      </c>
      <c r="B14" s="143" t="s">
        <v>537</v>
      </c>
      <c r="C14" s="253">
        <f>F18*2/I23</f>
        <v>1.1617928999631086</v>
      </c>
      <c r="D14" s="129"/>
      <c r="E14" s="135" t="s">
        <v>477</v>
      </c>
      <c r="F14" s="251">
        <v>111233</v>
      </c>
      <c r="G14" s="123"/>
      <c r="H14" s="142" t="s">
        <v>478</v>
      </c>
      <c r="I14" s="251">
        <v>163498</v>
      </c>
      <c r="J14" s="180"/>
    </row>
    <row r="15" spans="1:11">
      <c r="A15" s="119" t="s">
        <v>479</v>
      </c>
      <c r="B15" s="144" t="s">
        <v>538</v>
      </c>
      <c r="C15" s="253">
        <f>F18*2/F16</f>
        <v>0.49969940107000382</v>
      </c>
      <c r="D15" s="129"/>
      <c r="E15" s="119" t="s">
        <v>49</v>
      </c>
      <c r="F15" s="251">
        <v>912201</v>
      </c>
      <c r="G15" s="123"/>
      <c r="H15" s="142" t="s">
        <v>481</v>
      </c>
      <c r="I15" s="179">
        <f>2937473747.4513/1000</f>
        <v>2937473.7474513003</v>
      </c>
      <c r="J15" s="180"/>
      <c r="K15" s="265"/>
    </row>
    <row r="16" spans="1:11">
      <c r="A16" s="135" t="s">
        <v>482</v>
      </c>
      <c r="B16" s="144" t="s">
        <v>539</v>
      </c>
      <c r="C16" s="252">
        <f>(F15+I10*0.8)*2/F16</f>
        <v>6.1200988544109068E-2</v>
      </c>
      <c r="D16" s="122"/>
      <c r="E16" s="119" t="s">
        <v>484</v>
      </c>
      <c r="F16" s="251">
        <f>(F4+I22)/2</f>
        <v>32718014</v>
      </c>
      <c r="G16" s="123"/>
      <c r="H16" s="124" t="s">
        <v>485</v>
      </c>
      <c r="I16" s="276">
        <v>6078323</v>
      </c>
      <c r="J16" s="180"/>
      <c r="K16" s="265"/>
    </row>
    <row r="17" spans="1:11">
      <c r="A17" s="119" t="s">
        <v>486</v>
      </c>
      <c r="B17" s="144" t="s">
        <v>175</v>
      </c>
      <c r="C17" s="252">
        <f>F15*2/F17</f>
        <v>0.12292256361988631</v>
      </c>
      <c r="D17" s="122"/>
      <c r="E17" s="119" t="s">
        <v>488</v>
      </c>
      <c r="F17" s="251">
        <f>(F5+I21)/2</f>
        <v>14841880.5</v>
      </c>
      <c r="G17" s="123"/>
      <c r="H17" s="145" t="s">
        <v>489</v>
      </c>
      <c r="I17" s="251">
        <v>6469393.7000000002</v>
      </c>
      <c r="K17" s="265"/>
    </row>
    <row r="18" spans="1:11">
      <c r="A18" s="119" t="s">
        <v>490</v>
      </c>
      <c r="B18" s="141" t="s">
        <v>491</v>
      </c>
      <c r="C18" s="252">
        <f>I9/I19</f>
        <v>0.5540802960382688</v>
      </c>
      <c r="D18" s="122"/>
      <c r="E18" s="119" t="s">
        <v>58</v>
      </c>
      <c r="F18" s="251">
        <v>8174586</v>
      </c>
      <c r="G18" s="123"/>
      <c r="H18" s="124" t="s">
        <v>492</v>
      </c>
      <c r="I18" s="251">
        <v>5814761</v>
      </c>
      <c r="K18" s="265"/>
    </row>
    <row r="19" spans="1:11">
      <c r="A19" s="119" t="s">
        <v>493</v>
      </c>
      <c r="B19" s="141" t="s">
        <v>494</v>
      </c>
      <c r="C19" s="252">
        <f>I11/I19</f>
        <v>0.65766353629677166</v>
      </c>
      <c r="D19" s="122"/>
      <c r="E19" s="119" t="s">
        <v>495</v>
      </c>
      <c r="F19" s="179">
        <v>165816</v>
      </c>
      <c r="G19" s="123"/>
      <c r="H19" s="124" t="s">
        <v>62</v>
      </c>
      <c r="I19" s="251">
        <v>1658164</v>
      </c>
      <c r="K19" s="265"/>
    </row>
    <row r="20" spans="1:11">
      <c r="A20" s="119" t="s">
        <v>496</v>
      </c>
      <c r="B20" s="146" t="s">
        <v>5</v>
      </c>
      <c r="C20" s="252">
        <f>F15/F18</f>
        <v>0.11158987134027337</v>
      </c>
      <c r="D20" s="122"/>
      <c r="E20" s="119" t="s">
        <v>64</v>
      </c>
      <c r="F20" s="251">
        <v>1780672</v>
      </c>
      <c r="G20" s="123"/>
      <c r="H20" s="124" t="s">
        <v>497</v>
      </c>
      <c r="I20" s="276">
        <v>13925180</v>
      </c>
    </row>
    <row r="21" spans="1:11">
      <c r="A21" s="135" t="s">
        <v>498</v>
      </c>
      <c r="B21" s="120" t="s">
        <v>6</v>
      </c>
      <c r="C21" s="253">
        <f>F8/F19</f>
        <v>5.5592644859362181</v>
      </c>
      <c r="D21" s="129"/>
      <c r="E21" s="119" t="s">
        <v>66</v>
      </c>
      <c r="F21" s="251">
        <f>SUM(F22:F26)</f>
        <v>16577663</v>
      </c>
      <c r="G21" s="123"/>
      <c r="H21" s="124" t="s">
        <v>499</v>
      </c>
      <c r="I21" s="179">
        <v>14625841</v>
      </c>
      <c r="J21" s="264"/>
      <c r="K21" s="265"/>
    </row>
    <row r="22" spans="1:11">
      <c r="A22" s="119" t="s">
        <v>500</v>
      </c>
      <c r="B22" s="144" t="s">
        <v>571</v>
      </c>
      <c r="C22" s="256">
        <f>F20*2/F10</f>
        <v>0.51190064825861348</v>
      </c>
      <c r="D22" s="122"/>
      <c r="E22" s="137" t="s">
        <v>309</v>
      </c>
      <c r="F22" s="257">
        <v>3835469</v>
      </c>
      <c r="G22" s="123"/>
      <c r="H22" s="124" t="s">
        <v>502</v>
      </c>
      <c r="I22" s="179">
        <v>31414838</v>
      </c>
      <c r="J22" s="180"/>
      <c r="K22" s="265"/>
    </row>
    <row r="23" spans="1:11">
      <c r="A23" s="119" t="s">
        <v>503</v>
      </c>
      <c r="B23" s="120" t="s">
        <v>7</v>
      </c>
      <c r="C23" s="258">
        <f>F21/F27</f>
        <v>3.0756908431864862</v>
      </c>
      <c r="D23" s="122"/>
      <c r="E23" s="137" t="s">
        <v>509</v>
      </c>
      <c r="F23" s="257">
        <v>3449192</v>
      </c>
      <c r="G23" s="123"/>
      <c r="H23" s="124" t="s">
        <v>504</v>
      </c>
      <c r="I23" s="251">
        <f>(F7+I20)/2</f>
        <v>14072363.5</v>
      </c>
      <c r="K23" s="265"/>
    </row>
    <row r="24" spans="1:11">
      <c r="A24" s="119" t="s">
        <v>505</v>
      </c>
      <c r="B24" s="120" t="s">
        <v>506</v>
      </c>
      <c r="C24" s="121">
        <f>(F20-I24)/SUM(I3:I6)</f>
        <v>5.1283596150896359E-2</v>
      </c>
      <c r="D24" s="122"/>
      <c r="E24" s="137" t="s">
        <v>557</v>
      </c>
      <c r="F24" s="257">
        <v>3925407</v>
      </c>
      <c r="G24" s="123"/>
      <c r="H24" s="124" t="s">
        <v>507</v>
      </c>
      <c r="I24" s="251">
        <f>F42</f>
        <v>0</v>
      </c>
      <c r="K24" s="265"/>
    </row>
    <row r="25" spans="1:11">
      <c r="A25" s="119" t="s">
        <v>508</v>
      </c>
      <c r="B25" s="120" t="s">
        <v>114</v>
      </c>
      <c r="C25" s="128">
        <f>(F18-I7)/I9</f>
        <v>2.4198035169294134</v>
      </c>
      <c r="D25" s="129"/>
      <c r="E25" s="137" t="s">
        <v>576</v>
      </c>
      <c r="F25" s="257">
        <v>3586923</v>
      </c>
      <c r="G25" s="123"/>
      <c r="H25" s="124" t="s">
        <v>510</v>
      </c>
      <c r="I25" s="251">
        <v>438471</v>
      </c>
      <c r="K25" s="265"/>
    </row>
    <row r="26" spans="1:11">
      <c r="A26" s="119" t="s">
        <v>511</v>
      </c>
      <c r="B26" s="120" t="s">
        <v>8</v>
      </c>
      <c r="C26" s="128">
        <f>I9/(I9-I10)</f>
        <v>1.1377459217879862</v>
      </c>
      <c r="D26" s="129"/>
      <c r="E26" s="137" t="s">
        <v>592</v>
      </c>
      <c r="F26" s="251">
        <f>F20</f>
        <v>1780672</v>
      </c>
      <c r="G26" s="123"/>
      <c r="H26" s="124" t="s">
        <v>513</v>
      </c>
      <c r="I26" s="276">
        <v>0</v>
      </c>
    </row>
    <row r="27" spans="1:11">
      <c r="A27" s="125" t="s">
        <v>561</v>
      </c>
      <c r="B27" s="267" t="s">
        <v>563</v>
      </c>
      <c r="C27" s="266">
        <f>F5-I31</f>
        <v>15003511</v>
      </c>
      <c r="D27" s="148"/>
      <c r="E27" s="135" t="s">
        <v>514</v>
      </c>
      <c r="F27" s="251">
        <f>SUM(F28:F42)</f>
        <v>5389899</v>
      </c>
      <c r="G27" s="123"/>
      <c r="H27" s="124" t="s">
        <v>515</v>
      </c>
      <c r="I27" s="179">
        <v>882870</v>
      </c>
      <c r="J27" s="107" t="s">
        <v>582</v>
      </c>
    </row>
    <row r="28" spans="1:11">
      <c r="A28" s="119"/>
      <c r="B28" s="141"/>
      <c r="C28" s="147"/>
      <c r="D28" s="148"/>
      <c r="E28" s="137" t="s">
        <v>309</v>
      </c>
      <c r="F28" s="257">
        <v>882058</v>
      </c>
      <c r="G28" s="150"/>
      <c r="H28" s="124" t="s">
        <v>516</v>
      </c>
      <c r="I28" s="179">
        <v>1293249</v>
      </c>
    </row>
    <row r="29" spans="1:11">
      <c r="A29" s="119"/>
      <c r="B29" s="141"/>
      <c r="C29" s="147"/>
      <c r="D29" s="148"/>
      <c r="E29" s="137" t="s">
        <v>509</v>
      </c>
      <c r="F29" s="257">
        <v>991416</v>
      </c>
      <c r="G29" s="123"/>
      <c r="H29" s="124" t="s">
        <v>517</v>
      </c>
      <c r="I29" s="179">
        <v>864472</v>
      </c>
      <c r="J29" s="107" t="s">
        <v>582</v>
      </c>
    </row>
    <row r="30" spans="1:11">
      <c r="A30" s="119"/>
      <c r="B30" s="141"/>
      <c r="C30" s="147"/>
      <c r="D30" s="148"/>
      <c r="E30" s="137" t="s">
        <v>557</v>
      </c>
      <c r="F30" s="257">
        <v>203184</v>
      </c>
      <c r="G30" s="123"/>
      <c r="H30" s="124" t="s">
        <v>518</v>
      </c>
      <c r="I30" s="251">
        <v>1234343</v>
      </c>
      <c r="J30" s="180"/>
    </row>
    <row r="31" spans="1:11">
      <c r="A31" s="285" t="s">
        <v>519</v>
      </c>
      <c r="B31" s="286"/>
      <c r="C31" s="287"/>
      <c r="D31" s="151"/>
      <c r="E31" s="137" t="s">
        <v>576</v>
      </c>
      <c r="F31" s="257">
        <v>467356</v>
      </c>
      <c r="G31" s="123"/>
      <c r="H31" s="145" t="s">
        <v>562</v>
      </c>
      <c r="I31" s="260">
        <v>54409</v>
      </c>
      <c r="J31" s="180"/>
    </row>
    <row r="32" spans="1:11">
      <c r="A32" s="153" t="s">
        <v>520</v>
      </c>
      <c r="B32" s="141"/>
      <c r="C32" s="154"/>
      <c r="D32" s="122"/>
      <c r="E32" s="137" t="s">
        <v>593</v>
      </c>
      <c r="F32" s="257">
        <f>I25+I26</f>
        <v>438471</v>
      </c>
      <c r="G32" s="150"/>
      <c r="H32" s="145"/>
      <c r="I32" s="260"/>
      <c r="J32" s="180"/>
    </row>
    <row r="33" spans="1:14">
      <c r="A33" s="155" t="s">
        <v>522</v>
      </c>
      <c r="B33" s="156"/>
      <c r="C33" s="154"/>
      <c r="D33" s="122"/>
      <c r="E33" s="137" t="s">
        <v>579</v>
      </c>
      <c r="F33" s="257">
        <v>354469</v>
      </c>
      <c r="G33" s="123"/>
      <c r="H33" s="145"/>
      <c r="I33" s="260"/>
      <c r="J33" s="180"/>
      <c r="K33" s="265"/>
    </row>
    <row r="34" spans="1:14">
      <c r="A34" s="157" t="s">
        <v>524</v>
      </c>
      <c r="B34" s="156"/>
      <c r="C34" s="154"/>
      <c r="D34" s="122"/>
      <c r="E34" s="137" t="s">
        <v>444</v>
      </c>
      <c r="F34" s="257">
        <v>192114</v>
      </c>
      <c r="G34" s="123"/>
      <c r="H34" s="145"/>
      <c r="I34" s="158"/>
      <c r="J34" s="180"/>
      <c r="K34" s="265"/>
    </row>
    <row r="35" spans="1:14">
      <c r="A35" s="159" t="s">
        <v>525</v>
      </c>
      <c r="B35" s="141"/>
      <c r="C35" s="154"/>
      <c r="D35" s="122"/>
      <c r="E35" s="137" t="s">
        <v>556</v>
      </c>
      <c r="F35" s="257">
        <v>0</v>
      </c>
      <c r="G35" s="123"/>
      <c r="H35" s="145"/>
      <c r="I35" s="158"/>
      <c r="J35" s="180"/>
      <c r="K35" s="265"/>
    </row>
    <row r="36" spans="1:14">
      <c r="A36" s="119"/>
      <c r="B36" s="141"/>
      <c r="C36" s="154"/>
      <c r="D36" s="122"/>
      <c r="E36" s="137" t="s">
        <v>576</v>
      </c>
      <c r="F36" s="257">
        <v>584044</v>
      </c>
      <c r="G36" s="123"/>
      <c r="H36" s="145" t="s">
        <v>526</v>
      </c>
      <c r="I36" s="261">
        <f>SUM(I32:I35)</f>
        <v>0</v>
      </c>
      <c r="J36" s="180"/>
      <c r="K36" s="268"/>
      <c r="L36" s="265"/>
      <c r="M36" s="265"/>
      <c r="N36" s="265"/>
    </row>
    <row r="37" spans="1:14">
      <c r="A37" s="119"/>
      <c r="B37" s="141"/>
      <c r="C37" s="154"/>
      <c r="D37" s="122"/>
      <c r="E37" s="137" t="s">
        <v>594</v>
      </c>
      <c r="F37" s="257">
        <v>0</v>
      </c>
      <c r="G37" s="123"/>
      <c r="H37" s="124"/>
      <c r="I37" s="158"/>
      <c r="J37" s="180"/>
      <c r="K37" s="265"/>
      <c r="L37" s="265"/>
      <c r="M37" s="265"/>
      <c r="N37" s="265"/>
    </row>
    <row r="38" spans="1:14">
      <c r="A38" s="119"/>
      <c r="B38" s="141"/>
      <c r="C38" s="154"/>
      <c r="D38" s="122"/>
      <c r="E38" s="137" t="s">
        <v>581</v>
      </c>
      <c r="F38" s="251">
        <v>414541</v>
      </c>
      <c r="G38" s="161"/>
      <c r="H38" s="124" t="s">
        <v>530</v>
      </c>
      <c r="I38" s="160">
        <f>75374</f>
        <v>75374</v>
      </c>
      <c r="J38" s="180"/>
      <c r="K38" s="265"/>
    </row>
    <row r="39" spans="1:14" ht="15.6" customHeight="1">
      <c r="A39" s="119"/>
      <c r="B39" s="141"/>
      <c r="C39" s="154"/>
      <c r="D39" s="122"/>
      <c r="E39" s="137" t="s">
        <v>444</v>
      </c>
      <c r="F39" s="251">
        <v>381378</v>
      </c>
      <c r="G39" s="150"/>
      <c r="H39" s="124" t="s">
        <v>531</v>
      </c>
      <c r="I39" s="261">
        <v>1290308</v>
      </c>
      <c r="J39" s="269"/>
      <c r="K39" s="275"/>
      <c r="M39" s="265"/>
      <c r="N39" s="265"/>
    </row>
    <row r="40" spans="1:14" ht="15.6" customHeight="1">
      <c r="A40" s="119"/>
      <c r="B40" s="141"/>
      <c r="C40" s="154"/>
      <c r="D40" s="122"/>
      <c r="E40" s="137" t="s">
        <v>556</v>
      </c>
      <c r="F40" s="251">
        <v>248725</v>
      </c>
      <c r="G40" s="150"/>
      <c r="H40" s="124" t="s">
        <v>532</v>
      </c>
      <c r="I40" s="261">
        <v>14145</v>
      </c>
      <c r="J40" s="274"/>
      <c r="K40" s="275"/>
      <c r="M40" s="265"/>
      <c r="N40" s="265"/>
    </row>
    <row r="41" spans="1:14">
      <c r="A41" s="119"/>
      <c r="B41" s="141"/>
      <c r="C41" s="154"/>
      <c r="D41" s="122"/>
      <c r="E41" s="137" t="s">
        <v>576</v>
      </c>
      <c r="F41" s="179">
        <v>232143</v>
      </c>
      <c r="G41" s="162"/>
      <c r="H41" s="163"/>
      <c r="I41" s="164"/>
      <c r="J41" s="180"/>
      <c r="K41" s="265"/>
      <c r="M41" s="265"/>
      <c r="N41" s="265"/>
    </row>
    <row r="42" spans="1:14">
      <c r="A42" s="165"/>
      <c r="B42" s="166"/>
      <c r="C42" s="167"/>
      <c r="D42" s="168"/>
      <c r="E42" s="166" t="s">
        <v>594</v>
      </c>
      <c r="F42" s="179">
        <v>0</v>
      </c>
      <c r="G42" s="169"/>
      <c r="J42" s="180"/>
      <c r="K42" s="265"/>
      <c r="L42" s="265"/>
      <c r="M42" s="265"/>
      <c r="N42" s="265"/>
    </row>
    <row r="43" spans="1:14">
      <c r="F43" s="106"/>
      <c r="G43" s="106"/>
      <c r="H43" s="104" t="s">
        <v>115</v>
      </c>
      <c r="K43" s="265"/>
      <c r="L43" s="272"/>
    </row>
    <row r="44" spans="1:14">
      <c r="E44" s="170"/>
      <c r="F44" s="106"/>
      <c r="G44" s="106"/>
      <c r="H44" s="104" t="s">
        <v>116</v>
      </c>
      <c r="I44" s="262">
        <f>I18</f>
        <v>5814761</v>
      </c>
      <c r="K44" s="265"/>
      <c r="L44" s="265"/>
      <c r="M44" s="265"/>
      <c r="N44" s="265"/>
    </row>
    <row r="45" spans="1:14">
      <c r="F45" s="106"/>
      <c r="G45" s="106"/>
      <c r="H45" s="104" t="s">
        <v>117</v>
      </c>
      <c r="I45" s="262">
        <v>1441069</v>
      </c>
      <c r="K45" s="265"/>
      <c r="L45" s="265"/>
      <c r="M45" s="265"/>
      <c r="N45" s="265"/>
    </row>
    <row r="46" spans="1:14">
      <c r="E46" s="170"/>
      <c r="F46" s="106"/>
      <c r="G46" s="106"/>
      <c r="H46" s="104" t="s">
        <v>118</v>
      </c>
      <c r="I46" s="262">
        <f>I39+I40</f>
        <v>1304453</v>
      </c>
      <c r="K46" s="265"/>
    </row>
    <row r="47" spans="1:14" ht="14.25" thickBot="1">
      <c r="E47" s="170"/>
      <c r="F47" s="106"/>
      <c r="G47" s="106"/>
      <c r="H47" s="104" t="s">
        <v>119</v>
      </c>
      <c r="I47" s="263">
        <f>I44+I45-I46</f>
        <v>5951377</v>
      </c>
      <c r="K47" s="265"/>
    </row>
    <row r="48" spans="1:14" ht="14.25" thickTop="1">
      <c r="E48" s="170"/>
      <c r="F48" s="106"/>
      <c r="G48" s="106"/>
      <c r="K48" s="265"/>
    </row>
    <row r="50" spans="2:11">
      <c r="J50" s="180"/>
      <c r="K50" s="265"/>
    </row>
    <row r="51" spans="2:11">
      <c r="J51" s="180"/>
      <c r="K51" s="265"/>
    </row>
    <row r="53" spans="2:11">
      <c r="J53" s="180"/>
    </row>
    <row r="54" spans="2:11">
      <c r="J54" s="180"/>
    </row>
    <row r="59" spans="2:11">
      <c r="B59" s="173"/>
    </row>
    <row r="60" spans="2:11">
      <c r="B60" s="174"/>
    </row>
    <row r="61" spans="2:11">
      <c r="B61" s="173"/>
    </row>
  </sheetData>
  <mergeCells count="1">
    <mergeCell ref="A31:C31"/>
  </mergeCells>
  <phoneticPr fontId="3" type="noConversion"/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1">
    <tabColor theme="1"/>
  </sheetPr>
  <dimension ref="A1:N61"/>
  <sheetViews>
    <sheetView zoomScaleNormal="100" workbookViewId="0">
      <pane xSplit="1" ySplit="2" topLeftCell="D33" activePane="bottomRight" state="frozen"/>
      <selection activeCell="I38" sqref="I38"/>
      <selection pane="topRight" activeCell="I38" sqref="I38"/>
      <selection pane="bottomLeft" activeCell="I38" sqref="I38"/>
      <selection pane="bottomRight" activeCell="I38" sqref="I38"/>
    </sheetView>
  </sheetViews>
  <sheetFormatPr defaultColWidth="35.7109375" defaultRowHeight="13.5"/>
  <cols>
    <col min="1" max="1" width="24" style="104" customWidth="1"/>
    <col min="2" max="2" width="26.42578125" style="102" customWidth="1"/>
    <col min="3" max="3" width="13.85546875" style="103" customWidth="1"/>
    <col min="4" max="4" width="2.85546875" style="103" customWidth="1"/>
    <col min="5" max="5" width="30.7109375" style="104" customWidth="1"/>
    <col min="6" max="6" width="14.85546875" style="105" customWidth="1"/>
    <col min="7" max="7" width="1.140625" style="105" customWidth="1"/>
    <col min="8" max="8" width="29.28515625" style="104" customWidth="1"/>
    <col min="9" max="9" width="17.85546875" style="106" customWidth="1"/>
    <col min="10" max="10" width="35.7109375" style="107"/>
    <col min="11" max="16384" width="35.7109375" style="104"/>
  </cols>
  <sheetData>
    <row r="1" spans="1:10">
      <c r="A1" s="102" t="s">
        <v>21</v>
      </c>
    </row>
    <row r="2" spans="1:10">
      <c r="A2" s="108" t="s">
        <v>575</v>
      </c>
      <c r="I2" s="109" t="s">
        <v>446</v>
      </c>
    </row>
    <row r="3" spans="1:10">
      <c r="A3" s="110" t="s">
        <v>22</v>
      </c>
      <c r="B3" s="111" t="s">
        <v>1</v>
      </c>
      <c r="C3" s="249">
        <f>F3/F4</f>
        <v>0.53402771924142656</v>
      </c>
      <c r="D3" s="113"/>
      <c r="E3" s="114" t="s">
        <v>23</v>
      </c>
      <c r="F3" s="250">
        <v>16301045</v>
      </c>
      <c r="G3" s="116"/>
      <c r="H3" s="117" t="s">
        <v>447</v>
      </c>
      <c r="I3" s="251">
        <v>22666050</v>
      </c>
    </row>
    <row r="4" spans="1:10">
      <c r="A4" s="119" t="s">
        <v>448</v>
      </c>
      <c r="B4" s="120" t="s">
        <v>201</v>
      </c>
      <c r="C4" s="252">
        <f>SUM(F5:F6)/F7</f>
        <v>1.5088595891148746</v>
      </c>
      <c r="D4" s="122"/>
      <c r="E4" s="119" t="s">
        <v>25</v>
      </c>
      <c r="F4" s="251">
        <v>30524717</v>
      </c>
      <c r="G4" s="123"/>
      <c r="H4" s="124" t="s">
        <v>26</v>
      </c>
      <c r="I4" s="251">
        <v>0</v>
      </c>
    </row>
    <row r="5" spans="1:10">
      <c r="A5" s="125" t="s">
        <v>27</v>
      </c>
      <c r="B5" s="126" t="s">
        <v>2</v>
      </c>
      <c r="C5" s="252">
        <f>F9/F10</f>
        <v>1.1255701697904412</v>
      </c>
      <c r="D5" s="122"/>
      <c r="E5" s="119" t="s">
        <v>449</v>
      </c>
      <c r="F5" s="251">
        <v>14223672</v>
      </c>
      <c r="G5" s="123"/>
      <c r="H5" s="124" t="s">
        <v>450</v>
      </c>
      <c r="I5" s="251">
        <v>4850653</v>
      </c>
      <c r="J5" s="180"/>
    </row>
    <row r="6" spans="1:10">
      <c r="A6" s="119" t="s">
        <v>28</v>
      </c>
      <c r="B6" s="120" t="s">
        <v>451</v>
      </c>
      <c r="C6" s="252">
        <f>(F9-F11-I38)/F10</f>
        <v>0.60900485209089539</v>
      </c>
      <c r="D6" s="122"/>
      <c r="E6" s="119" t="s">
        <v>452</v>
      </c>
      <c r="F6" s="251">
        <v>7137985</v>
      </c>
      <c r="G6" s="123"/>
      <c r="H6" s="124" t="s">
        <v>29</v>
      </c>
      <c r="I6" s="251">
        <f>F9-F10</f>
        <v>1150607</v>
      </c>
      <c r="J6" s="180"/>
    </row>
    <row r="7" spans="1:10">
      <c r="A7" s="119" t="s">
        <v>453</v>
      </c>
      <c r="B7" s="120" t="s">
        <v>3</v>
      </c>
      <c r="C7" s="253">
        <f>F13/F14</f>
        <v>6.8641666516172144</v>
      </c>
      <c r="D7" s="129"/>
      <c r="E7" s="119" t="s">
        <v>454</v>
      </c>
      <c r="F7" s="251">
        <v>14157485</v>
      </c>
      <c r="G7" s="123"/>
      <c r="H7" s="124" t="s">
        <v>31</v>
      </c>
      <c r="I7" s="251">
        <f>I47</f>
        <v>5885483</v>
      </c>
      <c r="J7" s="180"/>
    </row>
    <row r="8" spans="1:10">
      <c r="A8" s="125" t="s">
        <v>455</v>
      </c>
      <c r="B8" s="126" t="s">
        <v>456</v>
      </c>
      <c r="C8" s="130">
        <f>(F13+I39+I40)/F14</f>
        <v>19.004090441189749</v>
      </c>
      <c r="D8" s="129"/>
      <c r="E8" s="119" t="s">
        <v>457</v>
      </c>
      <c r="F8" s="251">
        <v>514098</v>
      </c>
      <c r="G8" s="123"/>
      <c r="H8" s="124"/>
      <c r="I8" s="131"/>
      <c r="J8" s="180"/>
    </row>
    <row r="9" spans="1:10">
      <c r="A9" s="119" t="s">
        <v>458</v>
      </c>
      <c r="B9" s="132" t="s">
        <v>564</v>
      </c>
      <c r="C9" s="254">
        <f>F18*2/(SUM(I12:I15)/2)</f>
        <v>5.5938094897947153</v>
      </c>
      <c r="D9" s="134"/>
      <c r="E9" s="119" t="s">
        <v>460</v>
      </c>
      <c r="F9" s="251">
        <v>10313667</v>
      </c>
      <c r="G9" s="123"/>
      <c r="H9" s="124" t="s">
        <v>35</v>
      </c>
      <c r="I9" s="251">
        <v>836057</v>
      </c>
      <c r="J9" s="180"/>
    </row>
    <row r="10" spans="1:10">
      <c r="A10" s="135" t="s">
        <v>461</v>
      </c>
      <c r="B10" s="120" t="s">
        <v>462</v>
      </c>
      <c r="C10" s="253">
        <f>365/C9</f>
        <v>65.250702703748132</v>
      </c>
      <c r="D10" s="136"/>
      <c r="E10" s="137" t="s">
        <v>463</v>
      </c>
      <c r="F10" s="251">
        <v>9163060</v>
      </c>
      <c r="G10" s="123"/>
      <c r="H10" s="124" t="s">
        <v>464</v>
      </c>
      <c r="I10" s="251">
        <f>F14</f>
        <v>110746</v>
      </c>
      <c r="J10" s="180"/>
    </row>
    <row r="11" spans="1:10">
      <c r="A11" s="135" t="s">
        <v>465</v>
      </c>
      <c r="B11" s="132" t="s">
        <v>565</v>
      </c>
      <c r="C11" s="253">
        <f>I18*2/(SUM(I16+I17)/2)</f>
        <v>2.1202505191964334</v>
      </c>
      <c r="D11" s="129"/>
      <c r="E11" s="119" t="s">
        <v>467</v>
      </c>
      <c r="F11" s="251">
        <v>4651742</v>
      </c>
      <c r="G11" s="123"/>
      <c r="H11" s="124" t="s">
        <v>41</v>
      </c>
      <c r="I11" s="251">
        <f>F13-F14</f>
        <v>649433</v>
      </c>
    </row>
    <row r="12" spans="1:10">
      <c r="A12" s="119" t="s">
        <v>468</v>
      </c>
      <c r="B12" s="177" t="s">
        <v>566</v>
      </c>
      <c r="C12" s="255">
        <f>I18*2/(SUM(I27:I30)/2)</f>
        <v>5.2459253176804514</v>
      </c>
      <c r="D12" s="140"/>
      <c r="E12" s="119" t="s">
        <v>470</v>
      </c>
      <c r="F12" s="251">
        <v>262635</v>
      </c>
      <c r="G12" s="123"/>
      <c r="H12" s="124" t="s">
        <v>471</v>
      </c>
      <c r="I12" s="251">
        <v>186628</v>
      </c>
      <c r="J12" s="180"/>
    </row>
    <row r="13" spans="1:10">
      <c r="A13" s="119" t="s">
        <v>472</v>
      </c>
      <c r="B13" s="141" t="s">
        <v>4</v>
      </c>
      <c r="C13" s="253">
        <f>365/C11</f>
        <v>172.14946851579293</v>
      </c>
      <c r="D13" s="136"/>
      <c r="E13" s="135" t="s">
        <v>473</v>
      </c>
      <c r="F13" s="251">
        <v>760179</v>
      </c>
      <c r="G13" s="123"/>
      <c r="H13" s="142" t="s">
        <v>474</v>
      </c>
      <c r="I13" s="251">
        <v>2602706</v>
      </c>
      <c r="J13" s="180"/>
    </row>
    <row r="14" spans="1:10">
      <c r="A14" s="119" t="s">
        <v>475</v>
      </c>
      <c r="B14" s="143" t="s">
        <v>567</v>
      </c>
      <c r="C14" s="253">
        <f>F18*2/I23</f>
        <v>1.1213945464219244</v>
      </c>
      <c r="D14" s="129"/>
      <c r="E14" s="135" t="s">
        <v>477</v>
      </c>
      <c r="F14" s="251">
        <v>110746</v>
      </c>
      <c r="G14" s="123"/>
      <c r="H14" s="142" t="s">
        <v>478</v>
      </c>
      <c r="I14" s="251">
        <v>248545</v>
      </c>
      <c r="J14" s="180"/>
    </row>
    <row r="15" spans="1:10">
      <c r="A15" s="119" t="s">
        <v>479</v>
      </c>
      <c r="B15" s="144" t="s">
        <v>568</v>
      </c>
      <c r="C15" s="253">
        <f>F18*2/F16</f>
        <v>0.52914138498765073</v>
      </c>
      <c r="D15" s="129"/>
      <c r="E15" s="119" t="s">
        <v>49</v>
      </c>
      <c r="F15" s="251">
        <v>498844</v>
      </c>
      <c r="G15" s="123"/>
      <c r="H15" s="142" t="s">
        <v>481</v>
      </c>
      <c r="I15" s="251">
        <v>2729917</v>
      </c>
      <c r="J15" s="180"/>
    </row>
    <row r="16" spans="1:10">
      <c r="A16" s="135" t="s">
        <v>482</v>
      </c>
      <c r="B16" s="144" t="s">
        <v>569</v>
      </c>
      <c r="C16" s="252">
        <f>(F15+I10*0.8)*2/F16</f>
        <v>3.8537032104467996E-2</v>
      </c>
      <c r="D16" s="122"/>
      <c r="E16" s="119" t="s">
        <v>484</v>
      </c>
      <c r="F16" s="251">
        <f>(F4+I22)/2</f>
        <v>30487080.5</v>
      </c>
      <c r="G16" s="123"/>
      <c r="H16" s="124" t="s">
        <v>485</v>
      </c>
      <c r="I16" s="251">
        <v>5559102.8729999997</v>
      </c>
      <c r="J16" s="180"/>
    </row>
    <row r="17" spans="1:10">
      <c r="A17" s="119" t="s">
        <v>486</v>
      </c>
      <c r="B17" s="144" t="s">
        <v>570</v>
      </c>
      <c r="C17" s="252">
        <f>F15*2/F17</f>
        <v>7.1320230040353566E-2</v>
      </c>
      <c r="D17" s="122"/>
      <c r="E17" s="119" t="s">
        <v>488</v>
      </c>
      <c r="F17" s="251">
        <f>(F5+I21)/2</f>
        <v>13988850</v>
      </c>
      <c r="G17" s="123"/>
      <c r="H17" s="145" t="s">
        <v>489</v>
      </c>
      <c r="I17" s="251">
        <v>5643828</v>
      </c>
    </row>
    <row r="18" spans="1:10">
      <c r="A18" s="119" t="s">
        <v>490</v>
      </c>
      <c r="B18" s="141" t="s">
        <v>491</v>
      </c>
      <c r="C18" s="252">
        <f>I9/I19</f>
        <v>0.50420645967467637</v>
      </c>
      <c r="D18" s="122"/>
      <c r="E18" s="119" t="s">
        <v>58</v>
      </c>
      <c r="F18" s="251">
        <v>8065988</v>
      </c>
      <c r="G18" s="123"/>
      <c r="H18" s="124" t="s">
        <v>492</v>
      </c>
      <c r="I18" s="251">
        <v>5938255</v>
      </c>
    </row>
    <row r="19" spans="1:10">
      <c r="A19" s="119" t="s">
        <v>493</v>
      </c>
      <c r="B19" s="141" t="s">
        <v>494</v>
      </c>
      <c r="C19" s="252">
        <f>I11/I19</f>
        <v>0.39165788185004619</v>
      </c>
      <c r="D19" s="122"/>
      <c r="E19" s="119" t="s">
        <v>495</v>
      </c>
      <c r="F19" s="251">
        <v>165816</v>
      </c>
      <c r="G19" s="123"/>
      <c r="H19" s="124" t="s">
        <v>62</v>
      </c>
      <c r="I19" s="251">
        <v>1658164</v>
      </c>
    </row>
    <row r="20" spans="1:10">
      <c r="A20" s="119" t="s">
        <v>496</v>
      </c>
      <c r="B20" s="146" t="s">
        <v>5</v>
      </c>
      <c r="C20" s="252">
        <f>F15/F18</f>
        <v>6.1845368478108322E-2</v>
      </c>
      <c r="D20" s="122"/>
      <c r="E20" s="119" t="s">
        <v>64</v>
      </c>
      <c r="F20" s="251">
        <v>1856967</v>
      </c>
      <c r="G20" s="123"/>
      <c r="H20" s="124" t="s">
        <v>497</v>
      </c>
      <c r="I20" s="251">
        <v>14613791</v>
      </c>
    </row>
    <row r="21" spans="1:10">
      <c r="A21" s="135" t="s">
        <v>498</v>
      </c>
      <c r="B21" s="120" t="s">
        <v>6</v>
      </c>
      <c r="C21" s="253">
        <f>F8/F19</f>
        <v>3.1004125054277032</v>
      </c>
      <c r="D21" s="129"/>
      <c r="E21" s="119" t="s">
        <v>66</v>
      </c>
      <c r="F21" s="251">
        <f>SUM(F22:F26)</f>
        <v>15987894</v>
      </c>
      <c r="G21" s="123"/>
      <c r="H21" s="124" t="s">
        <v>499</v>
      </c>
      <c r="I21" s="251">
        <v>13754028</v>
      </c>
      <c r="J21" s="264"/>
    </row>
    <row r="22" spans="1:10">
      <c r="A22" s="119" t="s">
        <v>500</v>
      </c>
      <c r="B22" s="144" t="s">
        <v>571</v>
      </c>
      <c r="C22" s="256">
        <f>F20*2/F10</f>
        <v>0.40531590975067283</v>
      </c>
      <c r="D22" s="122"/>
      <c r="E22" s="137" t="s">
        <v>407</v>
      </c>
      <c r="F22" s="257">
        <v>2920859</v>
      </c>
      <c r="G22" s="123"/>
      <c r="H22" s="124" t="s">
        <v>502</v>
      </c>
      <c r="I22" s="251">
        <v>30449444</v>
      </c>
      <c r="J22" s="180"/>
    </row>
    <row r="23" spans="1:10">
      <c r="A23" s="119" t="s">
        <v>503</v>
      </c>
      <c r="B23" s="120" t="s">
        <v>7</v>
      </c>
      <c r="C23" s="258">
        <f>F21/F27</f>
        <v>2.6452960143589501</v>
      </c>
      <c r="D23" s="122"/>
      <c r="E23" s="137" t="s">
        <v>309</v>
      </c>
      <c r="F23" s="257">
        <v>3835469</v>
      </c>
      <c r="G23" s="123"/>
      <c r="H23" s="124" t="s">
        <v>504</v>
      </c>
      <c r="I23" s="251">
        <f>(F7+I20)/2</f>
        <v>14385638</v>
      </c>
    </row>
    <row r="24" spans="1:10">
      <c r="A24" s="119" t="s">
        <v>505</v>
      </c>
      <c r="B24" s="120" t="s">
        <v>506</v>
      </c>
      <c r="C24" s="121">
        <f>(F20-I24)/SUM(I3:I6)</f>
        <v>6.4776464900264452E-2</v>
      </c>
      <c r="D24" s="122"/>
      <c r="E24" s="137" t="s">
        <v>509</v>
      </c>
      <c r="F24" s="257">
        <v>3449192</v>
      </c>
      <c r="G24" s="123"/>
      <c r="H24" s="124" t="s">
        <v>507</v>
      </c>
      <c r="I24" s="251">
        <f>F42</f>
        <v>0</v>
      </c>
    </row>
    <row r="25" spans="1:10">
      <c r="A25" s="119" t="s">
        <v>508</v>
      </c>
      <c r="B25" s="120" t="s">
        <v>114</v>
      </c>
      <c r="C25" s="128">
        <f>(F18-I7)/I9</f>
        <v>2.6080817456226071</v>
      </c>
      <c r="D25" s="129"/>
      <c r="E25" s="137" t="s">
        <v>557</v>
      </c>
      <c r="F25" s="257">
        <v>3925407</v>
      </c>
      <c r="G25" s="123"/>
      <c r="H25" s="124" t="s">
        <v>510</v>
      </c>
      <c r="I25" s="251">
        <v>289151</v>
      </c>
    </row>
    <row r="26" spans="1:10">
      <c r="A26" s="119" t="s">
        <v>511</v>
      </c>
      <c r="B26" s="120" t="s">
        <v>8</v>
      </c>
      <c r="C26" s="128">
        <f>I9/(I9-I10)</f>
        <v>1.1526876057305073</v>
      </c>
      <c r="D26" s="129"/>
      <c r="E26" s="137" t="s">
        <v>572</v>
      </c>
      <c r="F26" s="251">
        <f>F20</f>
        <v>1856967</v>
      </c>
      <c r="G26" s="123"/>
      <c r="H26" s="124" t="s">
        <v>513</v>
      </c>
      <c r="I26" s="251">
        <v>0</v>
      </c>
    </row>
    <row r="27" spans="1:10">
      <c r="A27" s="125" t="s">
        <v>561</v>
      </c>
      <c r="B27" s="267" t="s">
        <v>563</v>
      </c>
      <c r="C27" s="266">
        <f>F5-I31</f>
        <v>14163381</v>
      </c>
      <c r="D27" s="148"/>
      <c r="E27" s="135" t="s">
        <v>514</v>
      </c>
      <c r="F27" s="251">
        <f>SUM(F28:F42)</f>
        <v>6043896</v>
      </c>
      <c r="G27" s="123"/>
      <c r="H27" s="124" t="s">
        <v>515</v>
      </c>
      <c r="I27" s="251">
        <v>1237260</v>
      </c>
    </row>
    <row r="28" spans="1:10">
      <c r="A28" s="119"/>
      <c r="B28" s="141"/>
      <c r="C28" s="147"/>
      <c r="D28" s="148"/>
      <c r="E28" s="137" t="s">
        <v>407</v>
      </c>
      <c r="F28" s="257">
        <v>1054958</v>
      </c>
      <c r="G28" s="150"/>
      <c r="H28" s="124" t="s">
        <v>516</v>
      </c>
      <c r="I28" s="251">
        <v>993741</v>
      </c>
    </row>
    <row r="29" spans="1:10">
      <c r="A29" s="119"/>
      <c r="B29" s="141"/>
      <c r="C29" s="147"/>
      <c r="D29" s="148"/>
      <c r="E29" s="137" t="s">
        <v>309</v>
      </c>
      <c r="F29" s="257">
        <v>882058</v>
      </c>
      <c r="G29" s="123"/>
      <c r="H29" s="124" t="s">
        <v>517</v>
      </c>
      <c r="I29" s="251">
        <v>1125753</v>
      </c>
    </row>
    <row r="30" spans="1:10">
      <c r="A30" s="119"/>
      <c r="B30" s="141"/>
      <c r="C30" s="147"/>
      <c r="D30" s="148"/>
      <c r="E30" s="137" t="s">
        <v>444</v>
      </c>
      <c r="F30" s="257">
        <v>991416</v>
      </c>
      <c r="G30" s="123"/>
      <c r="H30" s="124" t="s">
        <v>518</v>
      </c>
      <c r="I30" s="251">
        <v>1171145</v>
      </c>
    </row>
    <row r="31" spans="1:10">
      <c r="A31" s="285" t="s">
        <v>519</v>
      </c>
      <c r="B31" s="286"/>
      <c r="C31" s="287"/>
      <c r="D31" s="151"/>
      <c r="E31" s="137" t="s">
        <v>558</v>
      </c>
      <c r="F31" s="257">
        <v>203184</v>
      </c>
      <c r="G31" s="123"/>
      <c r="H31" s="145" t="s">
        <v>562</v>
      </c>
      <c r="I31" s="260">
        <v>60291</v>
      </c>
      <c r="J31" s="180"/>
    </row>
    <row r="32" spans="1:10">
      <c r="A32" s="153" t="s">
        <v>520</v>
      </c>
      <c r="B32" s="141"/>
      <c r="C32" s="154"/>
      <c r="D32" s="122"/>
      <c r="E32" s="137" t="s">
        <v>573</v>
      </c>
      <c r="F32" s="257">
        <f>I25+I26</f>
        <v>289151</v>
      </c>
      <c r="G32" s="150"/>
      <c r="H32" s="145"/>
      <c r="I32" s="260"/>
      <c r="J32" s="180"/>
    </row>
    <row r="33" spans="1:14">
      <c r="A33" s="155" t="s">
        <v>522</v>
      </c>
      <c r="B33" s="156"/>
      <c r="C33" s="154"/>
      <c r="D33" s="122"/>
      <c r="E33" s="137" t="s">
        <v>559</v>
      </c>
      <c r="F33" s="257">
        <v>621563</v>
      </c>
      <c r="G33" s="123"/>
      <c r="H33" s="145"/>
      <c r="I33" s="260"/>
    </row>
    <row r="34" spans="1:14">
      <c r="A34" s="157" t="s">
        <v>524</v>
      </c>
      <c r="B34" s="156"/>
      <c r="C34" s="154"/>
      <c r="D34" s="122"/>
      <c r="E34" s="137" t="s">
        <v>309</v>
      </c>
      <c r="F34" s="257">
        <v>354469</v>
      </c>
      <c r="G34" s="123"/>
      <c r="H34" s="145"/>
      <c r="I34" s="158"/>
      <c r="J34" s="180"/>
      <c r="K34" s="265"/>
    </row>
    <row r="35" spans="1:14">
      <c r="A35" s="159" t="s">
        <v>525</v>
      </c>
      <c r="B35" s="141"/>
      <c r="C35" s="154"/>
      <c r="D35" s="122"/>
      <c r="E35" s="137" t="s">
        <v>444</v>
      </c>
      <c r="F35" s="257">
        <v>0</v>
      </c>
      <c r="G35" s="123"/>
      <c r="H35" s="145"/>
      <c r="I35" s="158"/>
      <c r="J35" s="180"/>
      <c r="K35" s="265"/>
    </row>
    <row r="36" spans="1:14">
      <c r="A36" s="119"/>
      <c r="B36" s="141"/>
      <c r="C36" s="154"/>
      <c r="D36" s="122"/>
      <c r="E36" s="137" t="s">
        <v>556</v>
      </c>
      <c r="F36" s="257">
        <v>105004</v>
      </c>
      <c r="G36" s="123"/>
      <c r="H36" s="145" t="s">
        <v>526</v>
      </c>
      <c r="I36" s="261">
        <f>SUM(I32:I35)</f>
        <v>0</v>
      </c>
      <c r="K36" s="268"/>
      <c r="L36" s="265"/>
      <c r="M36" s="265"/>
      <c r="N36" s="265"/>
    </row>
    <row r="37" spans="1:14">
      <c r="A37" s="119"/>
      <c r="B37" s="141"/>
      <c r="C37" s="154"/>
      <c r="D37" s="122"/>
      <c r="E37" s="137" t="s">
        <v>574</v>
      </c>
      <c r="F37" s="257">
        <v>0</v>
      </c>
      <c r="G37" s="123"/>
      <c r="H37" s="124"/>
      <c r="I37" s="158"/>
      <c r="J37" s="180"/>
      <c r="K37" s="265"/>
      <c r="L37" s="265"/>
      <c r="M37" s="265"/>
      <c r="N37" s="265"/>
    </row>
    <row r="38" spans="1:14">
      <c r="A38" s="119"/>
      <c r="B38" s="141"/>
      <c r="C38" s="154"/>
      <c r="D38" s="122"/>
      <c r="E38" s="137" t="s">
        <v>560</v>
      </c>
      <c r="F38" s="251">
        <v>497449</v>
      </c>
      <c r="G38" s="161"/>
      <c r="H38" s="124" t="s">
        <v>530</v>
      </c>
      <c r="I38" s="261">
        <v>81577</v>
      </c>
      <c r="J38" s="180"/>
      <c r="K38" s="265"/>
    </row>
    <row r="39" spans="1:14" ht="15.6" customHeight="1">
      <c r="A39" s="119"/>
      <c r="B39" s="141"/>
      <c r="C39" s="154"/>
      <c r="D39" s="122"/>
      <c r="E39" s="137" t="s">
        <v>309</v>
      </c>
      <c r="F39" s="251">
        <v>414541</v>
      </c>
      <c r="G39" s="150"/>
      <c r="H39" s="124" t="s">
        <v>531</v>
      </c>
      <c r="I39" s="261">
        <v>1327869</v>
      </c>
      <c r="J39" s="269"/>
      <c r="K39" s="271"/>
      <c r="M39" s="265"/>
      <c r="N39" s="265"/>
    </row>
    <row r="40" spans="1:14" ht="15.6" customHeight="1">
      <c r="A40" s="119"/>
      <c r="B40" s="141"/>
      <c r="C40" s="154"/>
      <c r="D40" s="122"/>
      <c r="E40" s="137" t="s">
        <v>444</v>
      </c>
      <c r="F40" s="251">
        <v>381378</v>
      </c>
      <c r="G40" s="150"/>
      <c r="H40" s="124" t="s">
        <v>532</v>
      </c>
      <c r="I40" s="261">
        <v>16579</v>
      </c>
      <c r="J40" s="270"/>
      <c r="K40" s="271"/>
      <c r="M40" s="265"/>
      <c r="N40" s="265"/>
    </row>
    <row r="41" spans="1:14">
      <c r="A41" s="119"/>
      <c r="B41" s="141"/>
      <c r="C41" s="154"/>
      <c r="D41" s="122"/>
      <c r="E41" s="137" t="s">
        <v>556</v>
      </c>
      <c r="F41" s="251">
        <v>248725</v>
      </c>
      <c r="G41" s="162"/>
      <c r="H41" s="163"/>
      <c r="I41" s="164"/>
      <c r="J41" s="180"/>
      <c r="K41" s="265"/>
      <c r="M41" s="265"/>
      <c r="N41" s="265"/>
    </row>
    <row r="42" spans="1:14">
      <c r="A42" s="165"/>
      <c r="B42" s="166"/>
      <c r="C42" s="167"/>
      <c r="D42" s="168"/>
      <c r="E42" s="166" t="s">
        <v>574</v>
      </c>
      <c r="F42" s="251">
        <v>0</v>
      </c>
      <c r="G42" s="169"/>
      <c r="J42" s="180"/>
      <c r="L42" s="265"/>
      <c r="M42" s="265"/>
      <c r="N42" s="265"/>
    </row>
    <row r="43" spans="1:14">
      <c r="F43" s="106"/>
      <c r="G43" s="106"/>
      <c r="H43" s="104" t="s">
        <v>115</v>
      </c>
      <c r="L43" s="272"/>
    </row>
    <row r="44" spans="1:14">
      <c r="E44" s="170"/>
      <c r="F44" s="106"/>
      <c r="G44" s="106"/>
      <c r="H44" s="104" t="s">
        <v>116</v>
      </c>
      <c r="I44" s="262">
        <f>I18</f>
        <v>5938255</v>
      </c>
      <c r="L44" s="265"/>
      <c r="M44" s="265"/>
      <c r="N44" s="265"/>
    </row>
    <row r="45" spans="1:14">
      <c r="F45" s="106"/>
      <c r="G45" s="106"/>
      <c r="H45" s="104" t="s">
        <v>117</v>
      </c>
      <c r="I45" s="262">
        <v>1291676</v>
      </c>
      <c r="L45" s="265"/>
      <c r="M45" s="265"/>
      <c r="N45" s="265"/>
    </row>
    <row r="46" spans="1:14">
      <c r="E46" s="170"/>
      <c r="F46" s="106"/>
      <c r="G46" s="106"/>
      <c r="H46" s="104" t="s">
        <v>118</v>
      </c>
      <c r="I46" s="262">
        <f>I39+I40</f>
        <v>1344448</v>
      </c>
    </row>
    <row r="47" spans="1:14" ht="14.25" thickBot="1">
      <c r="E47" s="170"/>
      <c r="F47" s="106"/>
      <c r="G47" s="106"/>
      <c r="H47" s="104" t="s">
        <v>119</v>
      </c>
      <c r="I47" s="263">
        <f>I44+I45-I46</f>
        <v>5885483</v>
      </c>
    </row>
    <row r="48" spans="1:14" ht="14.25" thickTop="1">
      <c r="E48" s="170"/>
      <c r="F48" s="106"/>
      <c r="G48" s="106"/>
    </row>
    <row r="59" spans="2:2">
      <c r="B59" s="173"/>
    </row>
    <row r="60" spans="2:2">
      <c r="B60" s="174"/>
    </row>
    <row r="61" spans="2:2">
      <c r="B61" s="173"/>
    </row>
  </sheetData>
  <mergeCells count="1">
    <mergeCell ref="A31:C31"/>
  </mergeCells>
  <phoneticPr fontId="3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1"/>
  </sheetPr>
  <dimension ref="A1:J61"/>
  <sheetViews>
    <sheetView topLeftCell="A25" zoomScaleNormal="100" workbookViewId="0">
      <selection activeCell="F42" sqref="F42"/>
    </sheetView>
  </sheetViews>
  <sheetFormatPr defaultColWidth="35.7109375" defaultRowHeight="13.5"/>
  <cols>
    <col min="1" max="1" width="24" style="104" customWidth="1"/>
    <col min="2" max="2" width="26.42578125" style="102" customWidth="1"/>
    <col min="3" max="3" width="9.42578125" style="103" bestFit="1" customWidth="1"/>
    <col min="4" max="4" width="2.85546875" style="103" customWidth="1"/>
    <col min="5" max="5" width="30.7109375" style="104" customWidth="1"/>
    <col min="6" max="6" width="14.85546875" style="105" customWidth="1"/>
    <col min="7" max="7" width="1.140625" style="105" customWidth="1"/>
    <col min="8" max="8" width="29.28515625" style="104" customWidth="1"/>
    <col min="9" max="9" width="17.85546875" style="106" customWidth="1"/>
    <col min="10" max="10" width="35.7109375" style="107"/>
    <col min="11" max="16384" width="35.7109375" style="104"/>
  </cols>
  <sheetData>
    <row r="1" spans="1:10">
      <c r="A1" s="102" t="s">
        <v>21</v>
      </c>
    </row>
    <row r="2" spans="1:10">
      <c r="A2" s="108" t="s">
        <v>548</v>
      </c>
      <c r="I2" s="109" t="s">
        <v>446</v>
      </c>
    </row>
    <row r="3" spans="1:10">
      <c r="A3" s="110" t="s">
        <v>22</v>
      </c>
      <c r="B3" s="111" t="s">
        <v>1</v>
      </c>
      <c r="C3" s="249">
        <f>F3/F4</f>
        <v>0.57439099624927892</v>
      </c>
      <c r="D3" s="113"/>
      <c r="E3" s="114" t="s">
        <v>23</v>
      </c>
      <c r="F3" s="250">
        <v>18198415</v>
      </c>
      <c r="G3" s="116"/>
      <c r="H3" s="117" t="s">
        <v>447</v>
      </c>
      <c r="I3" s="251">
        <v>22893152</v>
      </c>
    </row>
    <row r="4" spans="1:10">
      <c r="A4" s="119" t="s">
        <v>448</v>
      </c>
      <c r="B4" s="120" t="s">
        <v>201</v>
      </c>
      <c r="C4" s="252">
        <f>SUM(F5:F6)/F7</f>
        <v>1.4198101486043588</v>
      </c>
      <c r="D4" s="122"/>
      <c r="E4" s="119" t="s">
        <v>25</v>
      </c>
      <c r="F4" s="251">
        <v>31682974</v>
      </c>
      <c r="G4" s="123"/>
      <c r="H4" s="124" t="s">
        <v>26</v>
      </c>
      <c r="I4" s="251">
        <v>0</v>
      </c>
    </row>
    <row r="5" spans="1:10">
      <c r="A5" s="125" t="s">
        <v>27</v>
      </c>
      <c r="B5" s="126" t="s">
        <v>2</v>
      </c>
      <c r="C5" s="252">
        <f>F9/F10</f>
        <v>0.98642991539655034</v>
      </c>
      <c r="D5" s="122"/>
      <c r="E5" s="119" t="s">
        <v>449</v>
      </c>
      <c r="F5" s="251">
        <v>13484559</v>
      </c>
      <c r="G5" s="123"/>
      <c r="H5" s="124" t="s">
        <v>450</v>
      </c>
      <c r="I5" s="251">
        <v>5053044</v>
      </c>
    </row>
    <row r="6" spans="1:10">
      <c r="A6" s="119" t="s">
        <v>28</v>
      </c>
      <c r="B6" s="120" t="s">
        <v>451</v>
      </c>
      <c r="C6" s="252">
        <f>(F9-F11-I38)/F10</f>
        <v>0.56111108205069049</v>
      </c>
      <c r="D6" s="122"/>
      <c r="E6" s="119" t="s">
        <v>452</v>
      </c>
      <c r="F6" s="251">
        <v>7301578</v>
      </c>
      <c r="G6" s="123"/>
      <c r="H6" s="124" t="s">
        <v>29</v>
      </c>
      <c r="I6" s="251">
        <f>F9-F10</f>
        <v>-147871</v>
      </c>
    </row>
    <row r="7" spans="1:10">
      <c r="A7" s="119" t="s">
        <v>453</v>
      </c>
      <c r="B7" s="120" t="s">
        <v>3</v>
      </c>
      <c r="C7" s="253">
        <f>F13/F14</f>
        <v>2.7949013364615189</v>
      </c>
      <c r="D7" s="129"/>
      <c r="E7" s="119" t="s">
        <v>454</v>
      </c>
      <c r="F7" s="251">
        <v>14640082</v>
      </c>
      <c r="G7" s="123"/>
      <c r="H7" s="124" t="s">
        <v>31</v>
      </c>
      <c r="I7" s="251">
        <f>I47</f>
        <v>7703122</v>
      </c>
    </row>
    <row r="8" spans="1:10">
      <c r="A8" s="125" t="s">
        <v>455</v>
      </c>
      <c r="B8" s="126" t="s">
        <v>456</v>
      </c>
      <c r="C8" s="130">
        <f>(F13+I39+I40)/F14</f>
        <v>11.494004776069378</v>
      </c>
      <c r="D8" s="129"/>
      <c r="E8" s="119" t="s">
        <v>457</v>
      </c>
      <c r="F8" s="251">
        <v>370383</v>
      </c>
      <c r="G8" s="123"/>
      <c r="H8" s="124"/>
      <c r="I8" s="131"/>
      <c r="J8" s="180"/>
    </row>
    <row r="9" spans="1:10">
      <c r="A9" s="119" t="s">
        <v>458</v>
      </c>
      <c r="B9" s="132" t="s">
        <v>549</v>
      </c>
      <c r="C9" s="254">
        <f>F18/3*4/(SUM(I12:I15)/2)</f>
        <v>4.7983924390928534</v>
      </c>
      <c r="D9" s="134"/>
      <c r="E9" s="119" t="s">
        <v>460</v>
      </c>
      <c r="F9" s="251">
        <v>10748966</v>
      </c>
      <c r="G9" s="123"/>
      <c r="H9" s="124" t="s">
        <v>35</v>
      </c>
      <c r="I9" s="251">
        <v>667200</v>
      </c>
    </row>
    <row r="10" spans="1:10">
      <c r="A10" s="135" t="s">
        <v>461</v>
      </c>
      <c r="B10" s="120" t="s">
        <v>462</v>
      </c>
      <c r="C10" s="253">
        <f>365/C9</f>
        <v>76.067142200858427</v>
      </c>
      <c r="D10" s="136"/>
      <c r="E10" s="137" t="s">
        <v>463</v>
      </c>
      <c r="F10" s="251">
        <v>10896837</v>
      </c>
      <c r="G10" s="123"/>
      <c r="H10" s="124" t="s">
        <v>464</v>
      </c>
      <c r="I10" s="251">
        <f>F14</f>
        <v>238690</v>
      </c>
    </row>
    <row r="11" spans="1:10">
      <c r="A11" s="135" t="s">
        <v>465</v>
      </c>
      <c r="B11" s="132" t="s">
        <v>550</v>
      </c>
      <c r="C11" s="253">
        <f>I18/3*4/(SUM(I16+I17)/2)</f>
        <v>1.9175794050059685</v>
      </c>
      <c r="D11" s="129"/>
      <c r="E11" s="119" t="s">
        <v>467</v>
      </c>
      <c r="F11" s="251">
        <v>4525723</v>
      </c>
      <c r="G11" s="123"/>
      <c r="H11" s="124" t="s">
        <v>41</v>
      </c>
      <c r="I11" s="251">
        <f>F13-F14</f>
        <v>428425</v>
      </c>
    </row>
    <row r="12" spans="1:10">
      <c r="A12" s="119" t="s">
        <v>468</v>
      </c>
      <c r="B12" s="177" t="s">
        <v>551</v>
      </c>
      <c r="C12" s="255">
        <f>I18/3*4/(SUM(I27:I30)/2)</f>
        <v>5.3854898573867782</v>
      </c>
      <c r="D12" s="140"/>
      <c r="E12" s="119" t="s">
        <v>470</v>
      </c>
      <c r="F12" s="251">
        <v>402312</v>
      </c>
      <c r="G12" s="123"/>
      <c r="H12" s="124" t="s">
        <v>471</v>
      </c>
      <c r="I12" s="251">
        <v>219940</v>
      </c>
      <c r="J12" s="180"/>
    </row>
    <row r="13" spans="1:10">
      <c r="A13" s="119" t="s">
        <v>472</v>
      </c>
      <c r="B13" s="141" t="s">
        <v>4</v>
      </c>
      <c r="C13" s="253">
        <f>365/C11</f>
        <v>190.34413857759591</v>
      </c>
      <c r="D13" s="136"/>
      <c r="E13" s="135" t="s">
        <v>473</v>
      </c>
      <c r="F13" s="251">
        <f>428425+238690</f>
        <v>667115</v>
      </c>
      <c r="G13" s="123"/>
      <c r="H13" s="142" t="s">
        <v>474</v>
      </c>
      <c r="I13" s="251">
        <v>2866032</v>
      </c>
      <c r="J13" s="180"/>
    </row>
    <row r="14" spans="1:10">
      <c r="A14" s="119" t="s">
        <v>475</v>
      </c>
      <c r="B14" s="143" t="s">
        <v>552</v>
      </c>
      <c r="C14" s="253">
        <f>F18/3*4/I23</f>
        <v>0.93114647016839258</v>
      </c>
      <c r="D14" s="129"/>
      <c r="E14" s="135" t="s">
        <v>477</v>
      </c>
      <c r="F14" s="251">
        <v>238690</v>
      </c>
      <c r="G14" s="123"/>
      <c r="H14" s="142" t="s">
        <v>478</v>
      </c>
      <c r="I14" s="251">
        <v>185788</v>
      </c>
    </row>
    <row r="15" spans="1:10">
      <c r="A15" s="119" t="s">
        <v>479</v>
      </c>
      <c r="B15" s="144" t="s">
        <v>553</v>
      </c>
      <c r="C15" s="253">
        <f>F18/3*4/F16</f>
        <v>0.43088979106822706</v>
      </c>
      <c r="D15" s="129"/>
      <c r="E15" s="119" t="s">
        <v>49</v>
      </c>
      <c r="F15" s="251">
        <v>345826</v>
      </c>
      <c r="G15" s="123"/>
      <c r="H15" s="142" t="s">
        <v>481</v>
      </c>
      <c r="I15" s="251">
        <v>2487690</v>
      </c>
    </row>
    <row r="16" spans="1:10">
      <c r="A16" s="135" t="s">
        <v>482</v>
      </c>
      <c r="B16" s="144" t="s">
        <v>554</v>
      </c>
      <c r="C16" s="252">
        <f>(F15+I10*0.8)/3*4/F16</f>
        <v>2.2317876411513209E-2</v>
      </c>
      <c r="D16" s="122"/>
      <c r="E16" s="119" t="s">
        <v>484</v>
      </c>
      <c r="F16" s="251">
        <f>(F4+I22)/2</f>
        <v>32068642.5</v>
      </c>
      <c r="G16" s="123"/>
      <c r="H16" s="124" t="s">
        <v>485</v>
      </c>
      <c r="I16" s="251">
        <v>5693818</v>
      </c>
    </row>
    <row r="17" spans="1:9">
      <c r="A17" s="119" t="s">
        <v>486</v>
      </c>
      <c r="B17" s="144" t="s">
        <v>136</v>
      </c>
      <c r="C17" s="252">
        <f>F15/3*4/F17</f>
        <v>3.4324032770634713E-2</v>
      </c>
      <c r="D17" s="122"/>
      <c r="E17" s="119" t="s">
        <v>488</v>
      </c>
      <c r="F17" s="251">
        <f>(F5+I21)/2</f>
        <v>13433775</v>
      </c>
      <c r="G17" s="123"/>
      <c r="H17" s="145" t="s">
        <v>489</v>
      </c>
      <c r="I17" s="251">
        <v>5372142.8729999997</v>
      </c>
    </row>
    <row r="18" spans="1:9">
      <c r="A18" s="119" t="s">
        <v>490</v>
      </c>
      <c r="B18" s="141" t="s">
        <v>491</v>
      </c>
      <c r="C18" s="252">
        <f>I9/I19</f>
        <v>0.40237274479484536</v>
      </c>
      <c r="D18" s="122"/>
      <c r="E18" s="119" t="s">
        <v>58</v>
      </c>
      <c r="F18" s="251">
        <v>10363538</v>
      </c>
      <c r="G18" s="123"/>
      <c r="H18" s="124" t="s">
        <v>492</v>
      </c>
      <c r="I18" s="251">
        <v>7957447</v>
      </c>
    </row>
    <row r="19" spans="1:9">
      <c r="A19" s="119" t="s">
        <v>493</v>
      </c>
      <c r="B19" s="141" t="s">
        <v>494</v>
      </c>
      <c r="C19" s="252">
        <f>I11/I19</f>
        <v>0.25837311629006537</v>
      </c>
      <c r="D19" s="122"/>
      <c r="E19" s="119" t="s">
        <v>495</v>
      </c>
      <c r="F19" s="251">
        <v>165816</v>
      </c>
      <c r="G19" s="123"/>
      <c r="H19" s="124" t="s">
        <v>62</v>
      </c>
      <c r="I19" s="251">
        <v>1658164</v>
      </c>
    </row>
    <row r="20" spans="1:9">
      <c r="A20" s="119" t="s">
        <v>496</v>
      </c>
      <c r="B20" s="146" t="s">
        <v>5</v>
      </c>
      <c r="C20" s="252">
        <f>F15/F18</f>
        <v>3.3369492156057133E-2</v>
      </c>
      <c r="D20" s="122"/>
      <c r="E20" s="119" t="s">
        <v>64</v>
      </c>
      <c r="F20" s="251">
        <v>2785741</v>
      </c>
      <c r="G20" s="123"/>
      <c r="H20" s="124" t="s">
        <v>497</v>
      </c>
      <c r="I20" s="251">
        <v>15039568</v>
      </c>
    </row>
    <row r="21" spans="1:9">
      <c r="A21" s="135" t="s">
        <v>498</v>
      </c>
      <c r="B21" s="120" t="s">
        <v>6</v>
      </c>
      <c r="C21" s="253">
        <f>F8/F19</f>
        <v>2.2336987986684034</v>
      </c>
      <c r="D21" s="129"/>
      <c r="E21" s="119" t="s">
        <v>66</v>
      </c>
      <c r="F21" s="251">
        <f>SUM(F22:F26)</f>
        <v>15766704</v>
      </c>
      <c r="G21" s="123"/>
      <c r="H21" s="124" t="s">
        <v>499</v>
      </c>
      <c r="I21" s="251">
        <v>13382991</v>
      </c>
    </row>
    <row r="22" spans="1:9">
      <c r="A22" s="119" t="s">
        <v>500</v>
      </c>
      <c r="B22" s="144" t="s">
        <v>555</v>
      </c>
      <c r="C22" s="256">
        <f>F20/3*4/F10</f>
        <v>0.34086233769793323</v>
      </c>
      <c r="D22" s="122"/>
      <c r="E22" s="137" t="s">
        <v>288</v>
      </c>
      <c r="F22" s="257">
        <v>2775443</v>
      </c>
      <c r="G22" s="123"/>
      <c r="H22" s="124" t="s">
        <v>502</v>
      </c>
      <c r="I22" s="251">
        <v>32454311</v>
      </c>
    </row>
    <row r="23" spans="1:9">
      <c r="A23" s="119" t="s">
        <v>503</v>
      </c>
      <c r="B23" s="120" t="s">
        <v>7</v>
      </c>
      <c r="C23" s="258">
        <f>F21/F27</f>
        <v>1.9975841536289767</v>
      </c>
      <c r="D23" s="122"/>
      <c r="E23" s="137" t="s">
        <v>407</v>
      </c>
      <c r="F23" s="257">
        <v>2920859</v>
      </c>
      <c r="G23" s="123"/>
      <c r="H23" s="124" t="s">
        <v>504</v>
      </c>
      <c r="I23" s="251">
        <f>(F7+I20)/2</f>
        <v>14839825</v>
      </c>
    </row>
    <row r="24" spans="1:9">
      <c r="A24" s="119" t="s">
        <v>505</v>
      </c>
      <c r="B24" s="120" t="s">
        <v>506</v>
      </c>
      <c r="C24" s="121">
        <f>(F20-I24)/SUM(I3:I6)</f>
        <v>9.1265067229770139E-2</v>
      </c>
      <c r="D24" s="122"/>
      <c r="E24" s="137" t="s">
        <v>309</v>
      </c>
      <c r="F24" s="257">
        <v>3835469</v>
      </c>
      <c r="G24" s="123"/>
      <c r="H24" s="124" t="s">
        <v>507</v>
      </c>
      <c r="I24" s="251">
        <f>F42</f>
        <v>248725</v>
      </c>
    </row>
    <row r="25" spans="1:9">
      <c r="A25" s="119" t="s">
        <v>508</v>
      </c>
      <c r="B25" s="120" t="s">
        <v>114</v>
      </c>
      <c r="C25" s="128">
        <f>(F18-I7)/I9</f>
        <v>3.9874340527577936</v>
      </c>
      <c r="D25" s="129"/>
      <c r="E25" s="137" t="s">
        <v>509</v>
      </c>
      <c r="F25" s="259">
        <v>3449192</v>
      </c>
      <c r="G25" s="123"/>
      <c r="H25" s="124" t="s">
        <v>510</v>
      </c>
      <c r="I25" s="251">
        <v>268974</v>
      </c>
    </row>
    <row r="26" spans="1:9">
      <c r="A26" s="119" t="s">
        <v>511</v>
      </c>
      <c r="B26" s="120" t="s">
        <v>8</v>
      </c>
      <c r="C26" s="128">
        <f>I9/(I9-I10)</f>
        <v>1.5570231733215094</v>
      </c>
      <c r="D26" s="129"/>
      <c r="E26" s="137" t="s">
        <v>545</v>
      </c>
      <c r="F26" s="251">
        <f>F20</f>
        <v>2785741</v>
      </c>
      <c r="G26" s="123"/>
      <c r="H26" s="124" t="s">
        <v>513</v>
      </c>
      <c r="I26" s="251">
        <v>0</v>
      </c>
    </row>
    <row r="27" spans="1:9">
      <c r="A27" s="119"/>
      <c r="B27" s="141"/>
      <c r="C27" s="147"/>
      <c r="D27" s="148"/>
      <c r="E27" s="135" t="s">
        <v>514</v>
      </c>
      <c r="F27" s="251">
        <f>SUM(F28:F42)</f>
        <v>7892886</v>
      </c>
      <c r="G27" s="123"/>
      <c r="H27" s="124" t="s">
        <v>515</v>
      </c>
      <c r="I27" s="251">
        <v>1174716</v>
      </c>
    </row>
    <row r="28" spans="1:9">
      <c r="A28" s="119"/>
      <c r="B28" s="141"/>
      <c r="C28" s="147"/>
      <c r="D28" s="148"/>
      <c r="E28" s="137" t="s">
        <v>288</v>
      </c>
      <c r="F28" s="257">
        <v>1007640</v>
      </c>
      <c r="G28" s="150"/>
      <c r="H28" s="124" t="s">
        <v>516</v>
      </c>
      <c r="I28" s="251">
        <v>912761</v>
      </c>
    </row>
    <row r="29" spans="1:9">
      <c r="A29" s="119"/>
      <c r="B29" s="141"/>
      <c r="C29" s="147"/>
      <c r="D29" s="148"/>
      <c r="E29" s="137" t="s">
        <v>407</v>
      </c>
      <c r="F29" s="257">
        <v>1054958</v>
      </c>
      <c r="G29" s="123"/>
      <c r="H29" s="124" t="s">
        <v>517</v>
      </c>
      <c r="I29" s="251">
        <v>937130</v>
      </c>
    </row>
    <row r="30" spans="1:9">
      <c r="A30" s="119"/>
      <c r="B30" s="141"/>
      <c r="C30" s="147"/>
      <c r="D30" s="148"/>
      <c r="E30" s="137" t="s">
        <v>309</v>
      </c>
      <c r="F30" s="257">
        <v>882058</v>
      </c>
      <c r="G30" s="123"/>
      <c r="H30" s="124" t="s">
        <v>518</v>
      </c>
      <c r="I30" s="251">
        <v>915584</v>
      </c>
    </row>
    <row r="31" spans="1:9">
      <c r="A31" s="285" t="s">
        <v>519</v>
      </c>
      <c r="B31" s="286"/>
      <c r="C31" s="287"/>
      <c r="D31" s="151"/>
      <c r="E31" s="137" t="s">
        <v>444</v>
      </c>
      <c r="F31" s="257">
        <v>991416</v>
      </c>
      <c r="G31" s="123"/>
      <c r="H31" s="145"/>
      <c r="I31" s="260"/>
    </row>
    <row r="32" spans="1:9">
      <c r="A32" s="153" t="s">
        <v>520</v>
      </c>
      <c r="B32" s="141"/>
      <c r="C32" s="154"/>
      <c r="D32" s="122"/>
      <c r="E32" s="137" t="s">
        <v>546</v>
      </c>
      <c r="F32" s="257">
        <f>I25+I26</f>
        <v>268974</v>
      </c>
      <c r="G32" s="150"/>
      <c r="H32" s="145"/>
      <c r="I32" s="260"/>
    </row>
    <row r="33" spans="1:10">
      <c r="A33" s="155" t="s">
        <v>522</v>
      </c>
      <c r="B33" s="156"/>
      <c r="C33" s="154"/>
      <c r="D33" s="122"/>
      <c r="E33" s="137" t="s">
        <v>523</v>
      </c>
      <c r="F33" s="257">
        <v>281530</v>
      </c>
      <c r="G33" s="123"/>
      <c r="H33" s="145"/>
      <c r="I33" s="260"/>
    </row>
    <row r="34" spans="1:10">
      <c r="A34" s="157" t="s">
        <v>524</v>
      </c>
      <c r="B34" s="156"/>
      <c r="C34" s="154"/>
      <c r="D34" s="122"/>
      <c r="E34" s="137" t="s">
        <v>407</v>
      </c>
      <c r="F34" s="257">
        <v>621563</v>
      </c>
      <c r="G34" s="123"/>
      <c r="H34" s="145"/>
      <c r="I34" s="158"/>
    </row>
    <row r="35" spans="1:10">
      <c r="A35" s="159" t="s">
        <v>525</v>
      </c>
      <c r="B35" s="141"/>
      <c r="C35" s="154"/>
      <c r="D35" s="122"/>
      <c r="E35" s="137" t="s">
        <v>309</v>
      </c>
      <c r="F35" s="257">
        <v>354469</v>
      </c>
      <c r="G35" s="123"/>
      <c r="H35" s="145"/>
      <c r="I35" s="158"/>
    </row>
    <row r="36" spans="1:10">
      <c r="A36" s="119"/>
      <c r="B36" s="141"/>
      <c r="C36" s="154"/>
      <c r="D36" s="122"/>
      <c r="E36" s="137" t="s">
        <v>444</v>
      </c>
      <c r="F36" s="257">
        <v>192114</v>
      </c>
      <c r="G36" s="123"/>
      <c r="H36" s="145" t="s">
        <v>526</v>
      </c>
      <c r="I36" s="261">
        <f>SUM(I32:I35)</f>
        <v>0</v>
      </c>
    </row>
    <row r="37" spans="1:10">
      <c r="A37" s="119"/>
      <c r="B37" s="141"/>
      <c r="C37" s="154"/>
      <c r="D37" s="122"/>
      <c r="E37" s="137" t="s">
        <v>547</v>
      </c>
      <c r="F37" s="257">
        <v>281530</v>
      </c>
      <c r="G37" s="123"/>
      <c r="H37" s="124"/>
      <c r="I37" s="158"/>
    </row>
    <row r="38" spans="1:10">
      <c r="A38" s="119"/>
      <c r="B38" s="141"/>
      <c r="C38" s="154"/>
      <c r="D38" s="122"/>
      <c r="E38" s="137" t="s">
        <v>529</v>
      </c>
      <c r="F38" s="251">
        <v>414541</v>
      </c>
      <c r="G38" s="161"/>
      <c r="H38" s="124" t="s">
        <v>530</v>
      </c>
      <c r="I38" s="261">
        <v>108907</v>
      </c>
      <c r="J38" s="180"/>
    </row>
    <row r="39" spans="1:10">
      <c r="A39" s="119"/>
      <c r="B39" s="141"/>
      <c r="C39" s="154"/>
      <c r="D39" s="122"/>
      <c r="E39" s="137" t="s">
        <v>407</v>
      </c>
      <c r="F39" s="251">
        <v>497449</v>
      </c>
      <c r="G39" s="150"/>
      <c r="H39" s="124" t="s">
        <v>531</v>
      </c>
      <c r="I39" s="261">
        <v>2052677</v>
      </c>
      <c r="J39" s="180"/>
    </row>
    <row r="40" spans="1:10">
      <c r="A40" s="119"/>
      <c r="B40" s="141"/>
      <c r="C40" s="154"/>
      <c r="D40" s="122"/>
      <c r="E40" s="137" t="s">
        <v>309</v>
      </c>
      <c r="F40" s="251">
        <v>414541</v>
      </c>
      <c r="G40" s="150"/>
      <c r="H40" s="124" t="s">
        <v>532</v>
      </c>
      <c r="I40" s="261">
        <v>23712</v>
      </c>
    </row>
    <row r="41" spans="1:10">
      <c r="A41" s="119"/>
      <c r="B41" s="141"/>
      <c r="C41" s="154"/>
      <c r="D41" s="122"/>
      <c r="E41" s="137" t="s">
        <v>444</v>
      </c>
      <c r="F41" s="251">
        <v>381378</v>
      </c>
      <c r="G41" s="162"/>
      <c r="H41" s="163"/>
      <c r="I41" s="164"/>
      <c r="J41" s="180"/>
    </row>
    <row r="42" spans="1:10">
      <c r="A42" s="165"/>
      <c r="B42" s="166"/>
      <c r="C42" s="167"/>
      <c r="D42" s="168"/>
      <c r="E42" s="166" t="s">
        <v>547</v>
      </c>
      <c r="F42" s="251">
        <v>248725</v>
      </c>
      <c r="G42" s="169"/>
      <c r="J42" s="180"/>
    </row>
    <row r="43" spans="1:10">
      <c r="F43" s="106"/>
      <c r="G43" s="106"/>
      <c r="H43" s="104" t="s">
        <v>115</v>
      </c>
    </row>
    <row r="44" spans="1:10">
      <c r="E44" s="170"/>
      <c r="F44" s="106"/>
      <c r="G44" s="106"/>
      <c r="H44" s="104" t="s">
        <v>116</v>
      </c>
      <c r="I44" s="262">
        <f>I18</f>
        <v>7957447</v>
      </c>
    </row>
    <row r="45" spans="1:10">
      <c r="F45" s="106"/>
      <c r="G45" s="106"/>
      <c r="H45" s="104" t="s">
        <v>117</v>
      </c>
      <c r="I45" s="262">
        <v>1822064</v>
      </c>
    </row>
    <row r="46" spans="1:10">
      <c r="E46" s="170"/>
      <c r="F46" s="106"/>
      <c r="G46" s="106"/>
      <c r="H46" s="104" t="s">
        <v>118</v>
      </c>
      <c r="I46" s="262">
        <f>I39+I40</f>
        <v>2076389</v>
      </c>
    </row>
    <row r="47" spans="1:10" ht="14.25" thickBot="1">
      <c r="E47" s="170"/>
      <c r="F47" s="106"/>
      <c r="G47" s="106"/>
      <c r="H47" s="104" t="s">
        <v>119</v>
      </c>
      <c r="I47" s="263">
        <f>I44+I45-I46</f>
        <v>7703122</v>
      </c>
    </row>
    <row r="48" spans="1:10" ht="14.25" thickTop="1">
      <c r="E48" s="170"/>
      <c r="F48" s="106"/>
      <c r="G48" s="106"/>
    </row>
    <row r="59" spans="2:2">
      <c r="B59" s="173"/>
    </row>
    <row r="60" spans="2:2">
      <c r="B60" s="174"/>
    </row>
    <row r="61" spans="2:2">
      <c r="B61" s="173"/>
    </row>
  </sheetData>
  <mergeCells count="1">
    <mergeCell ref="A31:C31"/>
  </mergeCells>
  <phoneticPr fontId="3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1" tint="0.249977111117893"/>
  </sheetPr>
  <dimension ref="A1:J61"/>
  <sheetViews>
    <sheetView topLeftCell="A31" zoomScaleNormal="100" workbookViewId="0">
      <selection activeCell="C9" sqref="C9"/>
    </sheetView>
  </sheetViews>
  <sheetFormatPr defaultColWidth="35.7109375" defaultRowHeight="13.5"/>
  <cols>
    <col min="1" max="1" width="24" style="104" customWidth="1"/>
    <col min="2" max="2" width="26.42578125" style="102" customWidth="1"/>
    <col min="3" max="3" width="9.42578125" style="103" bestFit="1" customWidth="1"/>
    <col min="4" max="4" width="2.85546875" style="103" customWidth="1"/>
    <col min="5" max="5" width="30.7109375" style="104" customWidth="1"/>
    <col min="6" max="6" width="14.85546875" style="105" customWidth="1"/>
    <col min="7" max="7" width="1.140625" style="105" customWidth="1"/>
    <col min="8" max="8" width="29.28515625" style="104" customWidth="1"/>
    <col min="9" max="9" width="17.85546875" style="106" customWidth="1"/>
    <col min="10" max="10" width="35.7109375" style="107"/>
    <col min="11" max="16384" width="35.7109375" style="104"/>
  </cols>
  <sheetData>
    <row r="1" spans="1:10">
      <c r="A1" s="102" t="s">
        <v>544</v>
      </c>
    </row>
    <row r="2" spans="1:10">
      <c r="A2" s="108" t="s">
        <v>533</v>
      </c>
      <c r="I2" s="109" t="s">
        <v>446</v>
      </c>
    </row>
    <row r="3" spans="1:10">
      <c r="A3" s="110" t="s">
        <v>22</v>
      </c>
      <c r="B3" s="111" t="s">
        <v>1</v>
      </c>
      <c r="C3" s="249">
        <f>F3/F4</f>
        <v>0.58529134097199265</v>
      </c>
      <c r="D3" s="113"/>
      <c r="E3" s="114" t="s">
        <v>23</v>
      </c>
      <c r="F3" s="250">
        <v>18647968</v>
      </c>
      <c r="G3" s="116"/>
      <c r="H3" s="117" t="s">
        <v>447</v>
      </c>
      <c r="I3" s="251">
        <v>22680129</v>
      </c>
    </row>
    <row r="4" spans="1:10">
      <c r="A4" s="119" t="s">
        <v>448</v>
      </c>
      <c r="B4" s="120" t="s">
        <v>201</v>
      </c>
      <c r="C4" s="252">
        <f>SUM(F5:F6)/F7</f>
        <v>1.4011697501174318</v>
      </c>
      <c r="D4" s="122"/>
      <c r="E4" s="119" t="s">
        <v>25</v>
      </c>
      <c r="F4" s="251">
        <v>31861001</v>
      </c>
      <c r="G4" s="123"/>
      <c r="H4" s="124" t="s">
        <v>26</v>
      </c>
      <c r="I4" s="251">
        <v>0</v>
      </c>
    </row>
    <row r="5" spans="1:10">
      <c r="A5" s="125" t="s">
        <v>27</v>
      </c>
      <c r="B5" s="126" t="s">
        <v>2</v>
      </c>
      <c r="C5" s="252">
        <f>F9/F10</f>
        <v>0.96964854012245816</v>
      </c>
      <c r="D5" s="122"/>
      <c r="E5" s="119" t="s">
        <v>449</v>
      </c>
      <c r="F5" s="251">
        <f>F4-F3</f>
        <v>13213033</v>
      </c>
      <c r="G5" s="123"/>
      <c r="H5" s="124" t="s">
        <v>450</v>
      </c>
      <c r="I5" s="251">
        <f>20895714-14668090-645767-376020-63353</f>
        <v>5142484</v>
      </c>
    </row>
    <row r="6" spans="1:10">
      <c r="A6" s="119" t="s">
        <v>28</v>
      </c>
      <c r="B6" s="120" t="s">
        <v>451</v>
      </c>
      <c r="C6" s="252">
        <f>(F9-F11-I38)/F10</f>
        <v>0.5235553875012966</v>
      </c>
      <c r="D6" s="122"/>
      <c r="E6" s="119" t="s">
        <v>452</v>
      </c>
      <c r="F6" s="251">
        <v>7339451</v>
      </c>
      <c r="G6" s="123"/>
      <c r="H6" s="124" t="s">
        <v>29</v>
      </c>
      <c r="I6" s="251">
        <f>F9-F10</f>
        <v>-343230</v>
      </c>
    </row>
    <row r="7" spans="1:10">
      <c r="A7" s="119" t="s">
        <v>453</v>
      </c>
      <c r="B7" s="120" t="s">
        <v>3</v>
      </c>
      <c r="C7" s="253">
        <f>F13/F14</f>
        <v>1.7695238628098249</v>
      </c>
      <c r="D7" s="129"/>
      <c r="E7" s="119" t="s">
        <v>454</v>
      </c>
      <c r="F7" s="251">
        <v>14668090</v>
      </c>
      <c r="G7" s="123"/>
      <c r="H7" s="124" t="s">
        <v>31</v>
      </c>
      <c r="I7" s="251">
        <f>I47</f>
        <v>4830446</v>
      </c>
    </row>
    <row r="8" spans="1:10">
      <c r="A8" s="125" t="s">
        <v>455</v>
      </c>
      <c r="B8" s="126" t="s">
        <v>456</v>
      </c>
      <c r="C8" s="130">
        <f>(F13+I39+I40)/F14</f>
        <v>9.5372237453141615</v>
      </c>
      <c r="D8" s="129"/>
      <c r="E8" s="119" t="s">
        <v>457</v>
      </c>
      <c r="F8" s="251">
        <v>133813</v>
      </c>
      <c r="G8" s="123"/>
      <c r="H8" s="124"/>
      <c r="I8" s="131"/>
      <c r="J8" s="180"/>
    </row>
    <row r="9" spans="1:10">
      <c r="A9" s="119" t="s">
        <v>458</v>
      </c>
      <c r="B9" s="132" t="s">
        <v>534</v>
      </c>
      <c r="C9" s="254">
        <f>F18*2/(SUM(I12:I15)/2)</f>
        <v>4.5133365081376082</v>
      </c>
      <c r="D9" s="134"/>
      <c r="E9" s="119" t="s">
        <v>460</v>
      </c>
      <c r="F9" s="251">
        <v>10965287</v>
      </c>
      <c r="G9" s="123"/>
      <c r="H9" s="124" t="s">
        <v>35</v>
      </c>
      <c r="I9" s="251">
        <v>401507</v>
      </c>
    </row>
    <row r="10" spans="1:10">
      <c r="A10" s="135" t="s">
        <v>461</v>
      </c>
      <c r="B10" s="120" t="s">
        <v>462</v>
      </c>
      <c r="C10" s="253">
        <f>365/C9</f>
        <v>80.871434988705133</v>
      </c>
      <c r="D10" s="136"/>
      <c r="E10" s="137" t="s">
        <v>463</v>
      </c>
      <c r="F10" s="251">
        <v>11308517</v>
      </c>
      <c r="G10" s="123"/>
      <c r="H10" s="124" t="s">
        <v>464</v>
      </c>
      <c r="I10" s="251">
        <f>F14</f>
        <v>178730</v>
      </c>
    </row>
    <row r="11" spans="1:10">
      <c r="A11" s="135" t="s">
        <v>465</v>
      </c>
      <c r="B11" s="132" t="s">
        <v>535</v>
      </c>
      <c r="C11" s="253">
        <f>I18*2/(SUM(I16+I17)/2)</f>
        <v>1.7500056448724028</v>
      </c>
      <c r="D11" s="129"/>
      <c r="E11" s="119" t="s">
        <v>467</v>
      </c>
      <c r="F11" s="251">
        <v>4937623</v>
      </c>
      <c r="G11" s="123"/>
      <c r="H11" s="124" t="s">
        <v>41</v>
      </c>
      <c r="I11" s="251">
        <f>F13-F14</f>
        <v>137537</v>
      </c>
    </row>
    <row r="12" spans="1:10">
      <c r="A12" s="119" t="s">
        <v>468</v>
      </c>
      <c r="B12" s="177" t="s">
        <v>536</v>
      </c>
      <c r="C12" s="255">
        <f>I18*2/(SUM(I27:I30)/2)</f>
        <v>4.8607375472850363</v>
      </c>
      <c r="D12" s="140"/>
      <c r="E12" s="119" t="s">
        <v>470</v>
      </c>
      <c r="F12" s="251">
        <v>372587</v>
      </c>
      <c r="G12" s="123"/>
      <c r="H12" s="124" t="s">
        <v>471</v>
      </c>
      <c r="I12" s="251">
        <v>219940</v>
      </c>
      <c r="J12" s="180"/>
    </row>
    <row r="13" spans="1:10">
      <c r="A13" s="119" t="s">
        <v>472</v>
      </c>
      <c r="B13" s="141" t="s">
        <v>4</v>
      </c>
      <c r="C13" s="253">
        <f>365/C11</f>
        <v>208.57075579696945</v>
      </c>
      <c r="D13" s="136"/>
      <c r="E13" s="135" t="s">
        <v>473</v>
      </c>
      <c r="F13" s="251">
        <f>137537+178730</f>
        <v>316267</v>
      </c>
      <c r="G13" s="123"/>
      <c r="H13" s="142" t="s">
        <v>474</v>
      </c>
      <c r="I13" s="251">
        <v>2866032</v>
      </c>
      <c r="J13" s="180"/>
    </row>
    <row r="14" spans="1:10">
      <c r="A14" s="119" t="s">
        <v>475</v>
      </c>
      <c r="B14" s="143" t="s">
        <v>537</v>
      </c>
      <c r="C14" s="253">
        <f>F18*2/I23</f>
        <v>0.8801826115003748</v>
      </c>
      <c r="D14" s="129"/>
      <c r="E14" s="135" t="s">
        <v>477</v>
      </c>
      <c r="F14" s="251">
        <v>178730</v>
      </c>
      <c r="G14" s="123"/>
      <c r="H14" s="142" t="s">
        <v>478</v>
      </c>
      <c r="I14" s="251">
        <v>260740</v>
      </c>
    </row>
    <row r="15" spans="1:10">
      <c r="A15" s="119" t="s">
        <v>479</v>
      </c>
      <c r="B15" s="144" t="s">
        <v>538</v>
      </c>
      <c r="C15" s="253">
        <f>F18*2/F16</f>
        <v>0.40656203300389804</v>
      </c>
      <c r="D15" s="129"/>
      <c r="E15" s="119" t="s">
        <v>49</v>
      </c>
      <c r="F15" s="251">
        <v>119028</v>
      </c>
      <c r="G15" s="123"/>
      <c r="H15" s="142" t="s">
        <v>481</v>
      </c>
      <c r="I15" s="251">
        <v>2446821</v>
      </c>
    </row>
    <row r="16" spans="1:10">
      <c r="A16" s="135" t="s">
        <v>482</v>
      </c>
      <c r="B16" s="144" t="s">
        <v>539</v>
      </c>
      <c r="C16" s="252">
        <f>(F15+I10*0.8)*2/F16</f>
        <v>1.6295466311350554E-2</v>
      </c>
      <c r="D16" s="122"/>
      <c r="E16" s="119" t="s">
        <v>484</v>
      </c>
      <c r="F16" s="251">
        <f>(F4+I22)/2</f>
        <v>32157656</v>
      </c>
      <c r="G16" s="123"/>
      <c r="H16" s="124" t="s">
        <v>485</v>
      </c>
      <c r="I16" s="251">
        <v>5693818</v>
      </c>
    </row>
    <row r="17" spans="1:9">
      <c r="A17" s="119" t="s">
        <v>486</v>
      </c>
      <c r="B17" s="144" t="s">
        <v>175</v>
      </c>
      <c r="C17" s="252">
        <f>F15*2/F17</f>
        <v>1.790162318999261E-2</v>
      </c>
      <c r="D17" s="122"/>
      <c r="E17" s="119" t="s">
        <v>488</v>
      </c>
      <c r="F17" s="251">
        <f>(F5+I21)/2</f>
        <v>13298012</v>
      </c>
      <c r="G17" s="123"/>
      <c r="H17" s="145" t="s">
        <v>489</v>
      </c>
      <c r="I17" s="251">
        <v>5776769</v>
      </c>
    </row>
    <row r="18" spans="1:9">
      <c r="A18" s="119" t="s">
        <v>490</v>
      </c>
      <c r="B18" s="141" t="s">
        <v>491</v>
      </c>
      <c r="C18" s="252">
        <f>I9/I19</f>
        <v>0.24213949886742203</v>
      </c>
      <c r="D18" s="122"/>
      <c r="E18" s="119" t="s">
        <v>58</v>
      </c>
      <c r="F18" s="251">
        <v>6537041</v>
      </c>
      <c r="G18" s="123"/>
      <c r="H18" s="124" t="s">
        <v>492</v>
      </c>
      <c r="I18" s="251">
        <v>5018398</v>
      </c>
    </row>
    <row r="19" spans="1:9">
      <c r="A19" s="119" t="s">
        <v>493</v>
      </c>
      <c r="B19" s="141" t="s">
        <v>494</v>
      </c>
      <c r="C19" s="252">
        <f>I11/I19</f>
        <v>8.2945354018058526E-2</v>
      </c>
      <c r="D19" s="122"/>
      <c r="E19" s="119" t="s">
        <v>495</v>
      </c>
      <c r="F19" s="251">
        <v>165816</v>
      </c>
      <c r="G19" s="123"/>
      <c r="H19" s="124" t="s">
        <v>62</v>
      </c>
      <c r="I19" s="251">
        <v>1658164</v>
      </c>
    </row>
    <row r="20" spans="1:9">
      <c r="A20" s="119" t="s">
        <v>496</v>
      </c>
      <c r="B20" s="146" t="s">
        <v>5</v>
      </c>
      <c r="C20" s="252">
        <f>F15/F18</f>
        <v>1.8208238253362645E-2</v>
      </c>
      <c r="D20" s="122"/>
      <c r="E20" s="119" t="s">
        <v>64</v>
      </c>
      <c r="F20" s="251">
        <v>1486419</v>
      </c>
      <c r="G20" s="123"/>
      <c r="H20" s="124" t="s">
        <v>497</v>
      </c>
      <c r="I20" s="251">
        <v>15039568</v>
      </c>
    </row>
    <row r="21" spans="1:9">
      <c r="A21" s="135" t="s">
        <v>498</v>
      </c>
      <c r="B21" s="120" t="s">
        <v>6</v>
      </c>
      <c r="C21" s="253">
        <f>F8/F19</f>
        <v>0.80699691224007331</v>
      </c>
      <c r="D21" s="129"/>
      <c r="E21" s="119" t="s">
        <v>66</v>
      </c>
      <c r="F21" s="251">
        <f>SUM(F22:F26)</f>
        <v>14467382</v>
      </c>
      <c r="G21" s="123"/>
      <c r="H21" s="124" t="s">
        <v>499</v>
      </c>
      <c r="I21" s="251">
        <v>13382991</v>
      </c>
    </row>
    <row r="22" spans="1:9">
      <c r="A22" s="119" t="s">
        <v>500</v>
      </c>
      <c r="B22" s="144" t="s">
        <v>540</v>
      </c>
      <c r="C22" s="256">
        <f>F20*2/F10</f>
        <v>0.2628848681042793</v>
      </c>
      <c r="D22" s="122"/>
      <c r="E22" s="137" t="s">
        <v>288</v>
      </c>
      <c r="F22" s="257">
        <v>2775443</v>
      </c>
      <c r="G22" s="123"/>
      <c r="H22" s="124" t="s">
        <v>502</v>
      </c>
      <c r="I22" s="251">
        <v>32454311</v>
      </c>
    </row>
    <row r="23" spans="1:9">
      <c r="A23" s="119" t="s">
        <v>503</v>
      </c>
      <c r="B23" s="120" t="s">
        <v>7</v>
      </c>
      <c r="C23" s="258">
        <f>F21/F27</f>
        <v>2.0134904613286291</v>
      </c>
      <c r="D23" s="122"/>
      <c r="E23" s="137" t="s">
        <v>407</v>
      </c>
      <c r="F23" s="257">
        <v>2920859</v>
      </c>
      <c r="G23" s="123"/>
      <c r="H23" s="124" t="s">
        <v>504</v>
      </c>
      <c r="I23" s="251">
        <f>(F7+I20)/2</f>
        <v>14853829</v>
      </c>
    </row>
    <row r="24" spans="1:9">
      <c r="A24" s="119" t="s">
        <v>505</v>
      </c>
      <c r="B24" s="120" t="s">
        <v>506</v>
      </c>
      <c r="C24" s="121">
        <f>(F20-I24)/SUM(I3:I6)</f>
        <v>5.4092153379135186E-2</v>
      </c>
      <c r="D24" s="122"/>
      <c r="E24" s="137" t="s">
        <v>309</v>
      </c>
      <c r="F24" s="257">
        <v>3835469</v>
      </c>
      <c r="G24" s="123"/>
      <c r="H24" s="124" t="s">
        <v>507</v>
      </c>
      <c r="I24" s="251">
        <f>F42</f>
        <v>0</v>
      </c>
    </row>
    <row r="25" spans="1:9">
      <c r="A25" s="119" t="s">
        <v>508</v>
      </c>
      <c r="B25" s="120" t="s">
        <v>114</v>
      </c>
      <c r="C25" s="128">
        <f>(F18-I7)/I9</f>
        <v>4.2504738398085218</v>
      </c>
      <c r="D25" s="129"/>
      <c r="E25" s="137" t="s">
        <v>509</v>
      </c>
      <c r="F25" s="259">
        <v>3449192</v>
      </c>
      <c r="G25" s="123"/>
      <c r="H25" s="124" t="s">
        <v>510</v>
      </c>
      <c r="I25" s="251">
        <v>155993</v>
      </c>
    </row>
    <row r="26" spans="1:9">
      <c r="A26" s="119" t="s">
        <v>511</v>
      </c>
      <c r="B26" s="120" t="s">
        <v>8</v>
      </c>
      <c r="C26" s="128">
        <f>I9/(I9-I10)</f>
        <v>1.8022821027305331</v>
      </c>
      <c r="D26" s="129"/>
      <c r="E26" s="137" t="s">
        <v>541</v>
      </c>
      <c r="F26" s="251">
        <f>F20</f>
        <v>1486419</v>
      </c>
      <c r="G26" s="123"/>
      <c r="H26" s="124" t="s">
        <v>513</v>
      </c>
      <c r="I26" s="251">
        <v>0</v>
      </c>
    </row>
    <row r="27" spans="1:9">
      <c r="A27" s="119"/>
      <c r="B27" s="141"/>
      <c r="C27" s="147"/>
      <c r="D27" s="148"/>
      <c r="E27" s="135" t="s">
        <v>514</v>
      </c>
      <c r="F27" s="251">
        <f>SUM(F28:F42)</f>
        <v>7185225</v>
      </c>
      <c r="G27" s="123"/>
      <c r="H27" s="124" t="s">
        <v>515</v>
      </c>
      <c r="I27" s="251">
        <v>1174716</v>
      </c>
    </row>
    <row r="28" spans="1:9">
      <c r="A28" s="119"/>
      <c r="B28" s="141"/>
      <c r="C28" s="147"/>
      <c r="D28" s="148"/>
      <c r="E28" s="137" t="s">
        <v>288</v>
      </c>
      <c r="F28" s="257">
        <v>1007640</v>
      </c>
      <c r="G28" s="150"/>
      <c r="H28" s="124" t="s">
        <v>516</v>
      </c>
      <c r="I28" s="251">
        <v>912761</v>
      </c>
    </row>
    <row r="29" spans="1:9">
      <c r="A29" s="119"/>
      <c r="B29" s="141"/>
      <c r="C29" s="147"/>
      <c r="D29" s="148"/>
      <c r="E29" s="137" t="s">
        <v>407</v>
      </c>
      <c r="F29" s="257">
        <v>1054958</v>
      </c>
      <c r="G29" s="123"/>
      <c r="H29" s="124" t="s">
        <v>517</v>
      </c>
      <c r="I29" s="251">
        <v>1219417</v>
      </c>
    </row>
    <row r="30" spans="1:9">
      <c r="A30" s="119"/>
      <c r="B30" s="141"/>
      <c r="C30" s="147"/>
      <c r="D30" s="148"/>
      <c r="E30" s="137" t="s">
        <v>309</v>
      </c>
      <c r="F30" s="257">
        <v>882058</v>
      </c>
      <c r="G30" s="123"/>
      <c r="H30" s="124" t="s">
        <v>518</v>
      </c>
      <c r="I30" s="251">
        <v>822848</v>
      </c>
    </row>
    <row r="31" spans="1:9">
      <c r="A31" s="285" t="s">
        <v>519</v>
      </c>
      <c r="B31" s="286"/>
      <c r="C31" s="287"/>
      <c r="D31" s="151"/>
      <c r="E31" s="137" t="s">
        <v>444</v>
      </c>
      <c r="F31" s="257">
        <v>991416</v>
      </c>
      <c r="G31" s="123"/>
      <c r="H31" s="145"/>
      <c r="I31" s="260"/>
    </row>
    <row r="32" spans="1:9">
      <c r="A32" s="153" t="s">
        <v>520</v>
      </c>
      <c r="B32" s="141"/>
      <c r="C32" s="154"/>
      <c r="D32" s="122"/>
      <c r="E32" s="137" t="s">
        <v>542</v>
      </c>
      <c r="F32" s="257">
        <f>I25+I26</f>
        <v>155993</v>
      </c>
      <c r="G32" s="150"/>
      <c r="H32" s="145"/>
      <c r="I32" s="260"/>
    </row>
    <row r="33" spans="1:10">
      <c r="A33" s="155" t="s">
        <v>522</v>
      </c>
      <c r="B33" s="156"/>
      <c r="C33" s="154"/>
      <c r="D33" s="122"/>
      <c r="E33" s="137" t="s">
        <v>523</v>
      </c>
      <c r="F33" s="257">
        <v>109336</v>
      </c>
      <c r="G33" s="123"/>
      <c r="H33" s="145"/>
      <c r="I33" s="260"/>
    </row>
    <row r="34" spans="1:10">
      <c r="A34" s="157" t="s">
        <v>524</v>
      </c>
      <c r="B34" s="156"/>
      <c r="C34" s="154"/>
      <c r="D34" s="122"/>
      <c r="E34" s="137" t="s">
        <v>407</v>
      </c>
      <c r="F34" s="257">
        <v>621563</v>
      </c>
      <c r="G34" s="123"/>
      <c r="H34" s="145"/>
      <c r="I34" s="158"/>
    </row>
    <row r="35" spans="1:10">
      <c r="A35" s="159" t="s">
        <v>525</v>
      </c>
      <c r="B35" s="141"/>
      <c r="C35" s="154"/>
      <c r="D35" s="122"/>
      <c r="E35" s="137" t="s">
        <v>309</v>
      </c>
      <c r="F35" s="257">
        <v>354469</v>
      </c>
      <c r="G35" s="123"/>
      <c r="H35" s="145"/>
      <c r="I35" s="158"/>
    </row>
    <row r="36" spans="1:10">
      <c r="A36" s="119"/>
      <c r="B36" s="141"/>
      <c r="C36" s="154"/>
      <c r="D36" s="122"/>
      <c r="E36" s="137" t="s">
        <v>444</v>
      </c>
      <c r="F36" s="257">
        <v>192114</v>
      </c>
      <c r="G36" s="123"/>
      <c r="H36" s="145" t="s">
        <v>526</v>
      </c>
      <c r="I36" s="261">
        <f>SUM(I32:I35)</f>
        <v>0</v>
      </c>
      <c r="J36" s="107" t="s">
        <v>527</v>
      </c>
    </row>
    <row r="37" spans="1:10">
      <c r="A37" s="119"/>
      <c r="B37" s="141"/>
      <c r="C37" s="154"/>
      <c r="D37" s="122"/>
      <c r="E37" s="137" t="s">
        <v>543</v>
      </c>
      <c r="F37" s="259">
        <v>107769</v>
      </c>
      <c r="G37" s="123"/>
      <c r="H37" s="124"/>
      <c r="I37" s="158"/>
    </row>
    <row r="38" spans="1:10">
      <c r="A38" s="119"/>
      <c r="B38" s="141"/>
      <c r="C38" s="154"/>
      <c r="D38" s="122"/>
      <c r="E38" s="137" t="s">
        <v>529</v>
      </c>
      <c r="F38" s="251">
        <v>414541</v>
      </c>
      <c r="G38" s="161"/>
      <c r="H38" s="124" t="s">
        <v>530</v>
      </c>
      <c r="I38" s="261">
        <v>107029</v>
      </c>
    </row>
    <row r="39" spans="1:10">
      <c r="A39" s="119"/>
      <c r="B39" s="141"/>
      <c r="C39" s="154"/>
      <c r="D39" s="122"/>
      <c r="E39" s="137" t="s">
        <v>407</v>
      </c>
      <c r="F39" s="251">
        <v>497449</v>
      </c>
      <c r="G39" s="150"/>
      <c r="H39" s="124" t="s">
        <v>531</v>
      </c>
      <c r="I39" s="261">
        <v>1372013</v>
      </c>
    </row>
    <row r="40" spans="1:10">
      <c r="A40" s="119"/>
      <c r="B40" s="141"/>
      <c r="C40" s="154"/>
      <c r="D40" s="122"/>
      <c r="E40" s="137" t="s">
        <v>309</v>
      </c>
      <c r="F40" s="251">
        <v>414541</v>
      </c>
      <c r="G40" s="150"/>
      <c r="H40" s="124" t="s">
        <v>532</v>
      </c>
      <c r="I40" s="261">
        <v>16308</v>
      </c>
    </row>
    <row r="41" spans="1:10">
      <c r="A41" s="119"/>
      <c r="B41" s="141"/>
      <c r="C41" s="154"/>
      <c r="D41" s="122"/>
      <c r="E41" s="137" t="s">
        <v>444</v>
      </c>
      <c r="F41" s="251">
        <v>381378</v>
      </c>
      <c r="G41" s="162"/>
      <c r="H41" s="163"/>
      <c r="I41" s="164"/>
    </row>
    <row r="42" spans="1:10">
      <c r="A42" s="165"/>
      <c r="B42" s="166"/>
      <c r="C42" s="167"/>
      <c r="D42" s="168"/>
      <c r="E42" s="166" t="s">
        <v>543</v>
      </c>
      <c r="F42" s="251">
        <v>0</v>
      </c>
      <c r="G42" s="169"/>
    </row>
    <row r="43" spans="1:10">
      <c r="F43" s="106"/>
      <c r="G43" s="106"/>
      <c r="H43" s="104" t="s">
        <v>115</v>
      </c>
    </row>
    <row r="44" spans="1:10">
      <c r="E44" s="170"/>
      <c r="F44" s="106"/>
      <c r="G44" s="106"/>
      <c r="H44" s="104" t="s">
        <v>116</v>
      </c>
      <c r="I44" s="262">
        <f>I18</f>
        <v>5018398</v>
      </c>
    </row>
    <row r="45" spans="1:10">
      <c r="F45" s="106"/>
      <c r="G45" s="106"/>
      <c r="H45" s="104" t="s">
        <v>117</v>
      </c>
      <c r="I45" s="262">
        <v>1200369</v>
      </c>
    </row>
    <row r="46" spans="1:10">
      <c r="E46" s="170"/>
      <c r="F46" s="106"/>
      <c r="G46" s="106"/>
      <c r="H46" s="104" t="s">
        <v>118</v>
      </c>
      <c r="I46" s="262">
        <f>I39+I40</f>
        <v>1388321</v>
      </c>
    </row>
    <row r="47" spans="1:10" ht="14.25" thickBot="1">
      <c r="E47" s="170"/>
      <c r="F47" s="106"/>
      <c r="G47" s="106"/>
      <c r="H47" s="104" t="s">
        <v>119</v>
      </c>
      <c r="I47" s="263">
        <f>I44+I45-I46</f>
        <v>4830446</v>
      </c>
    </row>
    <row r="48" spans="1:10" ht="14.25" thickTop="1">
      <c r="E48" s="170"/>
      <c r="F48" s="106"/>
      <c r="G48" s="106"/>
    </row>
    <row r="59" spans="2:2">
      <c r="B59" s="173"/>
    </row>
    <row r="60" spans="2:2">
      <c r="B60" s="174"/>
    </row>
    <row r="61" spans="2:2">
      <c r="B61" s="173"/>
    </row>
  </sheetData>
  <mergeCells count="1">
    <mergeCell ref="A31:C31"/>
  </mergeCells>
  <phoneticPr fontId="3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1">
    <tabColor theme="1"/>
  </sheetPr>
  <dimension ref="A1:J61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I16" sqref="I16"/>
    </sheetView>
  </sheetViews>
  <sheetFormatPr defaultColWidth="35.7109375" defaultRowHeight="13.5"/>
  <cols>
    <col min="1" max="1" width="24" style="104" customWidth="1"/>
    <col min="2" max="2" width="26.42578125" style="102" customWidth="1"/>
    <col min="3" max="3" width="10" style="103" customWidth="1"/>
    <col min="4" max="4" width="2.85546875" style="103" customWidth="1"/>
    <col min="5" max="5" width="30.7109375" style="104" customWidth="1"/>
    <col min="6" max="6" width="14.85546875" style="105" customWidth="1"/>
    <col min="7" max="7" width="1.140625" style="105" customWidth="1"/>
    <col min="8" max="8" width="29.28515625" style="104" customWidth="1"/>
    <col min="9" max="9" width="17.85546875" style="106" customWidth="1"/>
    <col min="10" max="10" width="35.7109375" style="107"/>
    <col min="11" max="16384" width="35.7109375" style="104"/>
  </cols>
  <sheetData>
    <row r="1" spans="1:10">
      <c r="A1" s="102" t="s">
        <v>21</v>
      </c>
    </row>
    <row r="2" spans="1:10">
      <c r="A2" s="108" t="s">
        <v>445</v>
      </c>
      <c r="I2" s="109" t="s">
        <v>446</v>
      </c>
    </row>
    <row r="3" spans="1:10">
      <c r="A3" s="110" t="s">
        <v>22</v>
      </c>
      <c r="B3" s="111" t="s">
        <v>1</v>
      </c>
      <c r="C3" s="249">
        <f>F3/F4</f>
        <v>0.58473792635107225</v>
      </c>
      <c r="D3" s="113"/>
      <c r="E3" s="114" t="s">
        <v>23</v>
      </c>
      <c r="F3" s="250">
        <v>19094762</v>
      </c>
      <c r="G3" s="116"/>
      <c r="H3" s="117" t="s">
        <v>447</v>
      </c>
      <c r="I3" s="251">
        <v>22680084</v>
      </c>
    </row>
    <row r="4" spans="1:10">
      <c r="A4" s="119" t="s">
        <v>448</v>
      </c>
      <c r="B4" s="120" t="s">
        <v>201</v>
      </c>
      <c r="C4" s="252">
        <f>SUM(F5:F6)/F7</f>
        <v>1.5775727141858731</v>
      </c>
      <c r="D4" s="122"/>
      <c r="E4" s="119" t="s">
        <v>25</v>
      </c>
      <c r="F4" s="251">
        <v>32655248</v>
      </c>
      <c r="G4" s="123"/>
      <c r="H4" s="124" t="s">
        <v>26</v>
      </c>
      <c r="I4" s="251">
        <v>0</v>
      </c>
    </row>
    <row r="5" spans="1:10">
      <c r="A5" s="125" t="s">
        <v>27</v>
      </c>
      <c r="B5" s="126" t="s">
        <v>2</v>
      </c>
      <c r="C5" s="252">
        <f>F9/F10</f>
        <v>1.2530133230162832</v>
      </c>
      <c r="D5" s="122"/>
      <c r="E5" s="119" t="s">
        <v>449</v>
      </c>
      <c r="F5" s="251">
        <f>F4-F3</f>
        <v>13560486</v>
      </c>
      <c r="G5" s="123"/>
      <c r="H5" s="124" t="s">
        <v>450</v>
      </c>
      <c r="I5" s="251">
        <f>21073706-14840708-700262-381335-68002</f>
        <v>5083399</v>
      </c>
    </row>
    <row r="6" spans="1:10">
      <c r="A6" s="119" t="s">
        <v>28</v>
      </c>
      <c r="B6" s="120" t="s">
        <v>451</v>
      </c>
      <c r="C6" s="252">
        <f>(F9-F11-I38)/F10</f>
        <v>0.72981337564016346</v>
      </c>
      <c r="D6" s="122"/>
      <c r="E6" s="119" t="s">
        <v>452</v>
      </c>
      <c r="F6" s="251">
        <v>9851810</v>
      </c>
      <c r="G6" s="123"/>
      <c r="H6" s="124" t="s">
        <v>29</v>
      </c>
      <c r="I6" s="251">
        <f>F9-F10</f>
        <v>2338590</v>
      </c>
    </row>
    <row r="7" spans="1:10">
      <c r="A7" s="119" t="s">
        <v>453</v>
      </c>
      <c r="B7" s="120" t="s">
        <v>3</v>
      </c>
      <c r="C7" s="253">
        <f>F13/F14</f>
        <v>3.7917325502597694</v>
      </c>
      <c r="D7" s="129"/>
      <c r="E7" s="119" t="s">
        <v>454</v>
      </c>
      <c r="F7" s="251">
        <v>14840708</v>
      </c>
      <c r="G7" s="123"/>
      <c r="H7" s="124" t="s">
        <v>31</v>
      </c>
      <c r="I7" s="251">
        <f>I47</f>
        <v>2786691</v>
      </c>
    </row>
    <row r="8" spans="1:10">
      <c r="A8" s="125" t="s">
        <v>455</v>
      </c>
      <c r="B8" s="126" t="s">
        <v>456</v>
      </c>
      <c r="C8" s="130">
        <f>(F13+I39+I40)/F14</f>
        <v>11.337678961351877</v>
      </c>
      <c r="D8" s="129"/>
      <c r="E8" s="119" t="s">
        <v>457</v>
      </c>
      <c r="F8" s="251">
        <v>215300</v>
      </c>
      <c r="G8" s="123"/>
      <c r="H8" s="124"/>
      <c r="I8" s="131"/>
      <c r="J8" s="180"/>
    </row>
    <row r="9" spans="1:10">
      <c r="A9" s="119" t="s">
        <v>458</v>
      </c>
      <c r="B9" s="132" t="s">
        <v>459</v>
      </c>
      <c r="C9" s="254">
        <f>F18*4/(SUM(I12:I15)/2)</f>
        <v>4.9161602496219725</v>
      </c>
      <c r="D9" s="134"/>
      <c r="E9" s="119" t="s">
        <v>460</v>
      </c>
      <c r="F9" s="251">
        <v>11581542</v>
      </c>
      <c r="G9" s="123"/>
      <c r="H9" s="124" t="s">
        <v>35</v>
      </c>
      <c r="I9" s="251">
        <v>363226</v>
      </c>
    </row>
    <row r="10" spans="1:10">
      <c r="A10" s="135" t="s">
        <v>461</v>
      </c>
      <c r="B10" s="120" t="s">
        <v>462</v>
      </c>
      <c r="C10" s="253">
        <f>365/C9</f>
        <v>74.244935369644764</v>
      </c>
      <c r="D10" s="136"/>
      <c r="E10" s="137" t="s">
        <v>463</v>
      </c>
      <c r="F10" s="251">
        <v>9242952</v>
      </c>
      <c r="G10" s="123"/>
      <c r="H10" s="124" t="s">
        <v>464</v>
      </c>
      <c r="I10" s="251">
        <f>F14</f>
        <v>92967</v>
      </c>
    </row>
    <row r="11" spans="1:10">
      <c r="A11" s="135" t="s">
        <v>465</v>
      </c>
      <c r="B11" s="132" t="s">
        <v>466</v>
      </c>
      <c r="C11" s="253">
        <f>I18*4/(SUM(I16+I17)/2)</f>
        <v>1.9948395465192055</v>
      </c>
      <c r="D11" s="129"/>
      <c r="E11" s="119" t="s">
        <v>467</v>
      </c>
      <c r="F11" s="251">
        <v>4695089</v>
      </c>
      <c r="G11" s="123"/>
      <c r="H11" s="124" t="s">
        <v>41</v>
      </c>
      <c r="I11" s="251">
        <f>F13-F14</f>
        <v>259539</v>
      </c>
    </row>
    <row r="12" spans="1:10">
      <c r="A12" s="119" t="s">
        <v>468</v>
      </c>
      <c r="B12" s="177" t="s">
        <v>469</v>
      </c>
      <c r="C12" s="255">
        <f>I18*4/(SUM(I27:I30)/2)</f>
        <v>5.3814265995696919</v>
      </c>
      <c r="D12" s="140"/>
      <c r="E12" s="119" t="s">
        <v>470</v>
      </c>
      <c r="F12" s="251">
        <v>422883</v>
      </c>
      <c r="G12" s="123"/>
      <c r="H12" s="124" t="s">
        <v>471</v>
      </c>
      <c r="I12" s="251">
        <v>219940</v>
      </c>
      <c r="J12" s="180"/>
    </row>
    <row r="13" spans="1:10">
      <c r="A13" s="119" t="s">
        <v>472</v>
      </c>
      <c r="B13" s="141" t="s">
        <v>4</v>
      </c>
      <c r="C13" s="253">
        <f>365/C11</f>
        <v>182.97210952975558</v>
      </c>
      <c r="D13" s="136"/>
      <c r="E13" s="135" t="s">
        <v>473</v>
      </c>
      <c r="F13" s="251">
        <f>259539+92967</f>
        <v>352506</v>
      </c>
      <c r="G13" s="123"/>
      <c r="H13" s="142" t="s">
        <v>474</v>
      </c>
      <c r="I13" s="251">
        <v>2866032</v>
      </c>
      <c r="J13" s="180"/>
    </row>
    <row r="14" spans="1:10">
      <c r="A14" s="119" t="s">
        <v>475</v>
      </c>
      <c r="B14" s="143" t="s">
        <v>476</v>
      </c>
      <c r="C14" s="253">
        <f>F18*4/I23</f>
        <v>1.0311661110493089</v>
      </c>
      <c r="D14" s="129"/>
      <c r="E14" s="135" t="s">
        <v>477</v>
      </c>
      <c r="F14" s="251">
        <v>92967</v>
      </c>
      <c r="G14" s="123"/>
      <c r="H14" s="142" t="s">
        <v>478</v>
      </c>
      <c r="I14" s="251">
        <v>148028</v>
      </c>
    </row>
    <row r="15" spans="1:10">
      <c r="A15" s="119" t="s">
        <v>479</v>
      </c>
      <c r="B15" s="144" t="s">
        <v>480</v>
      </c>
      <c r="C15" s="253">
        <f>F18*4/F16</f>
        <v>0.47322587456013948</v>
      </c>
      <c r="D15" s="129"/>
      <c r="E15" s="119" t="s">
        <v>49</v>
      </c>
      <c r="F15" s="251">
        <v>205262</v>
      </c>
      <c r="G15" s="123"/>
      <c r="H15" s="142" t="s">
        <v>481</v>
      </c>
      <c r="I15" s="251">
        <v>3033397</v>
      </c>
    </row>
    <row r="16" spans="1:10">
      <c r="A16" s="135" t="s">
        <v>482</v>
      </c>
      <c r="B16" s="144" t="s">
        <v>483</v>
      </c>
      <c r="C16" s="252">
        <f>(F15+I10*0.8)*4/F16</f>
        <v>3.4358776719713303E-2</v>
      </c>
      <c r="D16" s="122"/>
      <c r="E16" s="119" t="s">
        <v>484</v>
      </c>
      <c r="F16" s="251">
        <f>(F4+I22)/2</f>
        <v>32554779.5</v>
      </c>
      <c r="G16" s="123"/>
      <c r="H16" s="124" t="s">
        <v>485</v>
      </c>
      <c r="I16" s="251">
        <v>5693818</v>
      </c>
    </row>
    <row r="17" spans="1:9">
      <c r="A17" s="119" t="s">
        <v>486</v>
      </c>
      <c r="B17" s="144" t="s">
        <v>487</v>
      </c>
      <c r="C17" s="252">
        <f>F15*4/F17</f>
        <v>6.0945957346188094E-2</v>
      </c>
      <c r="D17" s="122"/>
      <c r="E17" s="119" t="s">
        <v>488</v>
      </c>
      <c r="F17" s="251">
        <f>(F5+I21)/2</f>
        <v>13471738.5</v>
      </c>
      <c r="G17" s="123"/>
      <c r="H17" s="145" t="s">
        <v>489</v>
      </c>
      <c r="I17" s="251">
        <v>5534265</v>
      </c>
    </row>
    <row r="18" spans="1:9">
      <c r="A18" s="119" t="s">
        <v>490</v>
      </c>
      <c r="B18" s="141" t="s">
        <v>491</v>
      </c>
      <c r="C18" s="252">
        <f>I9/I19</f>
        <v>0.21905312140415545</v>
      </c>
      <c r="D18" s="122"/>
      <c r="E18" s="119" t="s">
        <v>58</v>
      </c>
      <c r="F18" s="251">
        <v>3851441</v>
      </c>
      <c r="G18" s="123"/>
      <c r="H18" s="124" t="s">
        <v>492</v>
      </c>
      <c r="I18" s="251">
        <v>2799778</v>
      </c>
    </row>
    <row r="19" spans="1:9">
      <c r="A19" s="119" t="s">
        <v>493</v>
      </c>
      <c r="B19" s="141" t="s">
        <v>494</v>
      </c>
      <c r="C19" s="252">
        <f>I11/I19</f>
        <v>0.15652191218721428</v>
      </c>
      <c r="D19" s="122"/>
      <c r="E19" s="119" t="s">
        <v>495</v>
      </c>
      <c r="F19" s="251">
        <v>165816</v>
      </c>
      <c r="G19" s="123"/>
      <c r="H19" s="124" t="s">
        <v>62</v>
      </c>
      <c r="I19" s="251">
        <v>1658164</v>
      </c>
    </row>
    <row r="20" spans="1:9">
      <c r="A20" s="119" t="s">
        <v>496</v>
      </c>
      <c r="B20" s="146" t="s">
        <v>5</v>
      </c>
      <c r="C20" s="252">
        <f>F15/F18</f>
        <v>5.3294857690926588E-2</v>
      </c>
      <c r="D20" s="122"/>
      <c r="E20" s="119" t="s">
        <v>64</v>
      </c>
      <c r="F20" s="251">
        <v>1140231</v>
      </c>
      <c r="G20" s="123"/>
      <c r="H20" s="124" t="s">
        <v>497</v>
      </c>
      <c r="I20" s="251">
        <v>15039568</v>
      </c>
    </row>
    <row r="21" spans="1:9">
      <c r="A21" s="135" t="s">
        <v>498</v>
      </c>
      <c r="B21" s="120" t="s">
        <v>6</v>
      </c>
      <c r="C21" s="253">
        <f>F8/F19</f>
        <v>1.2984271722873546</v>
      </c>
      <c r="D21" s="129"/>
      <c r="E21" s="119" t="s">
        <v>66</v>
      </c>
      <c r="F21" s="251">
        <f>SUM(F22:F26)</f>
        <v>14121194</v>
      </c>
      <c r="G21" s="123"/>
      <c r="H21" s="124" t="s">
        <v>499</v>
      </c>
      <c r="I21" s="251">
        <v>13382991</v>
      </c>
    </row>
    <row r="22" spans="1:9">
      <c r="A22" s="119" t="s">
        <v>500</v>
      </c>
      <c r="B22" s="144" t="s">
        <v>501</v>
      </c>
      <c r="C22" s="256">
        <f>F20*4/F10</f>
        <v>0.49344884621276841</v>
      </c>
      <c r="D22" s="122"/>
      <c r="E22" s="137" t="s">
        <v>288</v>
      </c>
      <c r="F22" s="257">
        <v>2775443</v>
      </c>
      <c r="G22" s="123"/>
      <c r="H22" s="124" t="s">
        <v>502</v>
      </c>
      <c r="I22" s="251">
        <v>32454311</v>
      </c>
    </row>
    <row r="23" spans="1:9">
      <c r="A23" s="119" t="s">
        <v>503</v>
      </c>
      <c r="B23" s="120" t="s">
        <v>7</v>
      </c>
      <c r="C23" s="258">
        <f>F21/F27</f>
        <v>2.0101815914537493</v>
      </c>
      <c r="D23" s="122"/>
      <c r="E23" s="137" t="s">
        <v>407</v>
      </c>
      <c r="F23" s="257">
        <v>2920859</v>
      </c>
      <c r="G23" s="123"/>
      <c r="H23" s="124" t="s">
        <v>504</v>
      </c>
      <c r="I23" s="251">
        <f>(F7+I20)/2</f>
        <v>14940138</v>
      </c>
    </row>
    <row r="24" spans="1:9">
      <c r="A24" s="119" t="s">
        <v>505</v>
      </c>
      <c r="B24" s="120" t="s">
        <v>506</v>
      </c>
      <c r="C24" s="121">
        <f>(F20-I24)/SUM(I3:I6)</f>
        <v>3.7878819840746515E-2</v>
      </c>
      <c r="D24" s="122"/>
      <c r="E24" s="137" t="s">
        <v>309</v>
      </c>
      <c r="F24" s="257">
        <v>3835469</v>
      </c>
      <c r="G24" s="123"/>
      <c r="H24" s="124" t="s">
        <v>507</v>
      </c>
      <c r="I24" s="251">
        <f>F42</f>
        <v>0</v>
      </c>
    </row>
    <row r="25" spans="1:9">
      <c r="A25" s="119" t="s">
        <v>508</v>
      </c>
      <c r="B25" s="120" t="s">
        <v>114</v>
      </c>
      <c r="C25" s="128">
        <f>(F18-I7)/I9</f>
        <v>2.9313705516675568</v>
      </c>
      <c r="D25" s="129"/>
      <c r="E25" s="137" t="s">
        <v>509</v>
      </c>
      <c r="F25" s="259">
        <v>3449192</v>
      </c>
      <c r="G25" s="123"/>
      <c r="H25" s="124" t="s">
        <v>510</v>
      </c>
      <c r="I25" s="251">
        <v>103372</v>
      </c>
    </row>
    <row r="26" spans="1:9">
      <c r="A26" s="119" t="s">
        <v>511</v>
      </c>
      <c r="B26" s="120" t="s">
        <v>8</v>
      </c>
      <c r="C26" s="128">
        <f>I9/(I9-I10)</f>
        <v>1.3439922444765946</v>
      </c>
      <c r="D26" s="129"/>
      <c r="E26" s="137" t="s">
        <v>512</v>
      </c>
      <c r="F26" s="251">
        <f>F20</f>
        <v>1140231</v>
      </c>
      <c r="G26" s="123"/>
      <c r="H26" s="124" t="s">
        <v>513</v>
      </c>
      <c r="I26" s="251">
        <v>0</v>
      </c>
    </row>
    <row r="27" spans="1:9">
      <c r="A27" s="119"/>
      <c r="B27" s="141"/>
      <c r="C27" s="147"/>
      <c r="D27" s="148"/>
      <c r="E27" s="135" t="s">
        <v>514</v>
      </c>
      <c r="F27" s="251">
        <f>SUM(F28:F42)</f>
        <v>7024835</v>
      </c>
      <c r="G27" s="123"/>
      <c r="H27" s="124" t="s">
        <v>515</v>
      </c>
      <c r="I27" s="251">
        <v>1174716</v>
      </c>
    </row>
    <row r="28" spans="1:9">
      <c r="A28" s="119"/>
      <c r="B28" s="141"/>
      <c r="C28" s="147"/>
      <c r="D28" s="148"/>
      <c r="E28" s="137" t="s">
        <v>288</v>
      </c>
      <c r="F28" s="257">
        <v>1007640</v>
      </c>
      <c r="G28" s="150"/>
      <c r="H28" s="124" t="s">
        <v>516</v>
      </c>
      <c r="I28" s="251">
        <v>912761</v>
      </c>
    </row>
    <row r="29" spans="1:9">
      <c r="A29" s="119"/>
      <c r="B29" s="141"/>
      <c r="C29" s="147"/>
      <c r="D29" s="148"/>
      <c r="E29" s="137" t="s">
        <v>407</v>
      </c>
      <c r="F29" s="257">
        <v>1054958</v>
      </c>
      <c r="G29" s="123"/>
      <c r="H29" s="124" t="s">
        <v>517</v>
      </c>
      <c r="I29" s="251">
        <v>1190663</v>
      </c>
    </row>
    <row r="30" spans="1:9">
      <c r="A30" s="119"/>
      <c r="B30" s="141"/>
      <c r="C30" s="147"/>
      <c r="D30" s="148"/>
      <c r="E30" s="137" t="s">
        <v>309</v>
      </c>
      <c r="F30" s="257">
        <v>882058</v>
      </c>
      <c r="G30" s="123"/>
      <c r="H30" s="124" t="s">
        <v>518</v>
      </c>
      <c r="I30" s="251">
        <v>883995</v>
      </c>
    </row>
    <row r="31" spans="1:9">
      <c r="A31" s="285" t="s">
        <v>519</v>
      </c>
      <c r="B31" s="286"/>
      <c r="C31" s="287"/>
      <c r="D31" s="151"/>
      <c r="E31" s="137" t="s">
        <v>444</v>
      </c>
      <c r="F31" s="257">
        <v>991416</v>
      </c>
      <c r="G31" s="123"/>
      <c r="H31" s="145"/>
      <c r="I31" s="260"/>
    </row>
    <row r="32" spans="1:9">
      <c r="A32" s="153" t="s">
        <v>520</v>
      </c>
      <c r="B32" s="141"/>
      <c r="C32" s="154"/>
      <c r="D32" s="122"/>
      <c r="E32" s="137" t="s">
        <v>521</v>
      </c>
      <c r="F32" s="257">
        <f>I25+I26</f>
        <v>103372</v>
      </c>
      <c r="G32" s="150"/>
      <c r="H32" s="145"/>
      <c r="I32" s="260"/>
    </row>
    <row r="33" spans="1:10">
      <c r="A33" s="155" t="s">
        <v>522</v>
      </c>
      <c r="B33" s="156"/>
      <c r="C33" s="154"/>
      <c r="D33" s="122"/>
      <c r="E33" s="137" t="s">
        <v>523</v>
      </c>
      <c r="F33" s="257">
        <v>109336</v>
      </c>
      <c r="G33" s="123"/>
      <c r="H33" s="145"/>
      <c r="I33" s="260"/>
    </row>
    <row r="34" spans="1:10">
      <c r="A34" s="157" t="s">
        <v>524</v>
      </c>
      <c r="B34" s="156"/>
      <c r="C34" s="154"/>
      <c r="D34" s="122"/>
      <c r="E34" s="137" t="s">
        <v>407</v>
      </c>
      <c r="F34" s="257">
        <v>621563</v>
      </c>
      <c r="G34" s="123"/>
      <c r="H34" s="145"/>
      <c r="I34" s="158"/>
    </row>
    <row r="35" spans="1:10">
      <c r="A35" s="159" t="s">
        <v>525</v>
      </c>
      <c r="B35" s="141"/>
      <c r="C35" s="154"/>
      <c r="D35" s="122"/>
      <c r="E35" s="137" t="s">
        <v>309</v>
      </c>
      <c r="F35" s="257">
        <v>354469</v>
      </c>
      <c r="G35" s="123"/>
      <c r="H35" s="145"/>
      <c r="I35" s="158"/>
    </row>
    <row r="36" spans="1:10">
      <c r="A36" s="119"/>
      <c r="B36" s="141"/>
      <c r="C36" s="154"/>
      <c r="D36" s="122"/>
      <c r="E36" s="137" t="s">
        <v>444</v>
      </c>
      <c r="F36" s="257">
        <v>192114</v>
      </c>
      <c r="G36" s="123"/>
      <c r="H36" s="145" t="s">
        <v>526</v>
      </c>
      <c r="I36" s="261">
        <f>SUM(I32:I35)</f>
        <v>0</v>
      </c>
      <c r="J36" s="107" t="s">
        <v>527</v>
      </c>
    </row>
    <row r="37" spans="1:10">
      <c r="A37" s="119"/>
      <c r="B37" s="141"/>
      <c r="C37" s="154"/>
      <c r="D37" s="122"/>
      <c r="E37" s="137" t="s">
        <v>528</v>
      </c>
      <c r="F37" s="259">
        <v>0</v>
      </c>
      <c r="G37" s="123"/>
      <c r="H37" s="124"/>
      <c r="I37" s="158"/>
    </row>
    <row r="38" spans="1:10">
      <c r="A38" s="119"/>
      <c r="B38" s="141"/>
      <c r="C38" s="154"/>
      <c r="D38" s="122"/>
      <c r="E38" s="137" t="s">
        <v>529</v>
      </c>
      <c r="F38" s="251">
        <v>414541</v>
      </c>
      <c r="G38" s="161"/>
      <c r="H38" s="124" t="s">
        <v>530</v>
      </c>
      <c r="I38" s="261">
        <v>140823</v>
      </c>
    </row>
    <row r="39" spans="1:10">
      <c r="A39" s="119"/>
      <c r="B39" s="141"/>
      <c r="C39" s="154"/>
      <c r="D39" s="122"/>
      <c r="E39" s="137" t="s">
        <v>407</v>
      </c>
      <c r="F39" s="251">
        <v>497449</v>
      </c>
      <c r="G39" s="150"/>
      <c r="H39" s="124" t="s">
        <v>531</v>
      </c>
      <c r="I39" s="261">
        <v>692172</v>
      </c>
    </row>
    <row r="40" spans="1:10">
      <c r="A40" s="119"/>
      <c r="B40" s="141"/>
      <c r="C40" s="154"/>
      <c r="D40" s="122"/>
      <c r="E40" s="137" t="s">
        <v>309</v>
      </c>
      <c r="F40" s="251">
        <v>414541</v>
      </c>
      <c r="G40" s="150"/>
      <c r="H40" s="124" t="s">
        <v>532</v>
      </c>
      <c r="I40" s="261">
        <v>9352</v>
      </c>
    </row>
    <row r="41" spans="1:10">
      <c r="A41" s="119"/>
      <c r="B41" s="141"/>
      <c r="C41" s="154"/>
      <c r="D41" s="122"/>
      <c r="E41" s="137" t="s">
        <v>444</v>
      </c>
      <c r="F41" s="251">
        <v>381378</v>
      </c>
      <c r="G41" s="162"/>
      <c r="H41" s="163"/>
      <c r="I41" s="164"/>
    </row>
    <row r="42" spans="1:10">
      <c r="A42" s="165"/>
      <c r="B42" s="166"/>
      <c r="C42" s="167"/>
      <c r="D42" s="168"/>
      <c r="E42" s="166" t="s">
        <v>528</v>
      </c>
      <c r="F42" s="251">
        <v>0</v>
      </c>
      <c r="G42" s="169"/>
    </row>
    <row r="43" spans="1:10">
      <c r="F43" s="106"/>
      <c r="G43" s="106"/>
      <c r="H43" s="104" t="s">
        <v>115</v>
      </c>
    </row>
    <row r="44" spans="1:10">
      <c r="E44" s="170"/>
      <c r="F44" s="106"/>
      <c r="G44" s="106"/>
      <c r="H44" s="104" t="s">
        <v>116</v>
      </c>
      <c r="I44" s="262">
        <f>I18</f>
        <v>2799778</v>
      </c>
    </row>
    <row r="45" spans="1:10">
      <c r="E45" s="170"/>
      <c r="F45" s="106"/>
      <c r="G45" s="106"/>
      <c r="H45" s="104" t="s">
        <v>117</v>
      </c>
      <c r="I45" s="262">
        <v>688437</v>
      </c>
    </row>
    <row r="46" spans="1:10">
      <c r="E46" s="170"/>
      <c r="F46" s="106"/>
      <c r="G46" s="106"/>
      <c r="H46" s="104" t="s">
        <v>118</v>
      </c>
      <c r="I46" s="262">
        <f>I39+I40</f>
        <v>701524</v>
      </c>
    </row>
    <row r="47" spans="1:10" ht="14.25" thickBot="1">
      <c r="E47" s="170"/>
      <c r="F47" s="106"/>
      <c r="G47" s="106"/>
      <c r="H47" s="104" t="s">
        <v>119</v>
      </c>
      <c r="I47" s="263">
        <f>I44+I45-I46</f>
        <v>2786691</v>
      </c>
    </row>
    <row r="48" spans="1:10" ht="14.25" thickTop="1">
      <c r="E48" s="170"/>
      <c r="F48" s="106"/>
      <c r="G48" s="106"/>
    </row>
    <row r="59" spans="2:2">
      <c r="B59" s="173"/>
    </row>
    <row r="60" spans="2:2">
      <c r="B60" s="174"/>
    </row>
    <row r="61" spans="2:2">
      <c r="B61" s="173"/>
    </row>
  </sheetData>
  <mergeCells count="1">
    <mergeCell ref="A31:C31"/>
  </mergeCells>
  <phoneticPr fontId="3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1"/>
    <pageSetUpPr fitToPage="1"/>
  </sheetPr>
  <dimension ref="A1:L61"/>
  <sheetViews>
    <sheetView zoomScaleNormal="100" zoomScaleSheetLayoutView="100" workbookViewId="0">
      <pane ySplit="2" topLeftCell="A24" activePane="bottomLeft" state="frozen"/>
      <selection activeCell="A30" sqref="A30"/>
      <selection pane="bottomLeft" activeCell="F37" sqref="F37"/>
    </sheetView>
  </sheetViews>
  <sheetFormatPr defaultColWidth="31.28515625" defaultRowHeight="13.5"/>
  <cols>
    <col min="1" max="1" width="34" style="186" customWidth="1"/>
    <col min="2" max="2" width="23.140625" style="184" bestFit="1" customWidth="1"/>
    <col min="3" max="3" width="8.7109375" style="185" bestFit="1" customWidth="1"/>
    <col min="4" max="4" width="2.5703125" style="185" customWidth="1"/>
    <col min="5" max="5" width="32.28515625" style="186" customWidth="1"/>
    <col min="6" max="6" width="13" style="187" bestFit="1" customWidth="1"/>
    <col min="7" max="7" width="1" style="187" customWidth="1"/>
    <col min="8" max="8" width="36.85546875" style="186" customWidth="1"/>
    <col min="9" max="9" width="13.42578125" style="188" bestFit="1" customWidth="1"/>
    <col min="10" max="10" width="31.28515625" style="189"/>
    <col min="11" max="12" width="8.7109375" style="185" bestFit="1" customWidth="1"/>
    <col min="13" max="16384" width="31.28515625" style="186"/>
  </cols>
  <sheetData>
    <row r="1" spans="1:12" ht="14.25">
      <c r="A1" s="184" t="s">
        <v>330</v>
      </c>
    </row>
    <row r="2" spans="1:12" ht="15">
      <c r="A2" s="190" t="s">
        <v>331</v>
      </c>
      <c r="I2" s="191" t="s">
        <v>332</v>
      </c>
      <c r="K2" s="185" t="s">
        <v>333</v>
      </c>
      <c r="L2" s="185" t="s">
        <v>334</v>
      </c>
    </row>
    <row r="3" spans="1:12" ht="14.25">
      <c r="A3" s="192" t="s">
        <v>335</v>
      </c>
      <c r="B3" s="193" t="s">
        <v>1</v>
      </c>
      <c r="C3" s="194">
        <f>F3/F4</f>
        <v>0.58763595381827705</v>
      </c>
      <c r="D3" s="195"/>
      <c r="E3" s="196" t="s">
        <v>336</v>
      </c>
      <c r="F3" s="197">
        <v>19071320</v>
      </c>
      <c r="G3" s="198"/>
      <c r="H3" s="199" t="s">
        <v>337</v>
      </c>
      <c r="I3" s="200">
        <v>22669563</v>
      </c>
      <c r="K3" s="194">
        <v>0.59082450995952873</v>
      </c>
      <c r="L3" s="194">
        <f>C3-K3</f>
        <v>-3.1885561412516861E-3</v>
      </c>
    </row>
    <row r="4" spans="1:12" ht="14.25">
      <c r="A4" s="72" t="s">
        <v>338</v>
      </c>
      <c r="B4" s="73" t="s">
        <v>339</v>
      </c>
      <c r="C4" s="201">
        <f>SUM(F5:F6)/F7</f>
        <v>1.5840402463687786</v>
      </c>
      <c r="D4" s="202"/>
      <c r="E4" s="72" t="s">
        <v>340</v>
      </c>
      <c r="F4" s="200">
        <v>32454311</v>
      </c>
      <c r="G4" s="203"/>
      <c r="H4" s="204" t="s">
        <v>341</v>
      </c>
      <c r="I4" s="200">
        <v>0</v>
      </c>
      <c r="K4" s="201">
        <v>1.5214703484173286</v>
      </c>
      <c r="L4" s="201">
        <f t="shared" ref="L4:L24" si="0">C4-K4</f>
        <v>6.256989795144996E-2</v>
      </c>
    </row>
    <row r="5" spans="1:12" ht="14.25">
      <c r="A5" s="205" t="s">
        <v>342</v>
      </c>
      <c r="B5" s="206" t="s">
        <v>2</v>
      </c>
      <c r="C5" s="207">
        <f>F9/F10</f>
        <v>1.2582802705951306</v>
      </c>
      <c r="D5" s="202"/>
      <c r="E5" s="72" t="s">
        <v>343</v>
      </c>
      <c r="F5" s="200">
        <v>13821991</v>
      </c>
      <c r="G5" s="203"/>
      <c r="H5" s="204" t="s">
        <v>344</v>
      </c>
      <c r="I5" s="200">
        <f>21054524-15039568-715790-385221-73918</f>
        <v>4840027</v>
      </c>
      <c r="K5" s="207">
        <v>1.2428611938091714</v>
      </c>
      <c r="L5" s="207">
        <f t="shared" si="0"/>
        <v>1.5419076785959218E-2</v>
      </c>
    </row>
    <row r="6" spans="1:12" ht="14.25">
      <c r="A6" s="72" t="s">
        <v>345</v>
      </c>
      <c r="B6" s="73" t="s">
        <v>204</v>
      </c>
      <c r="C6" s="201">
        <f>(F9-F11-I38)/F10</f>
        <v>0.70605483646301392</v>
      </c>
      <c r="D6" s="202"/>
      <c r="E6" s="72" t="s">
        <v>346</v>
      </c>
      <c r="F6" s="200">
        <v>10001290</v>
      </c>
      <c r="G6" s="203"/>
      <c r="H6" s="204" t="s">
        <v>347</v>
      </c>
      <c r="I6" s="200">
        <f>F9-F10</f>
        <v>2340027</v>
      </c>
      <c r="K6" s="201">
        <v>0.70470837802011255</v>
      </c>
      <c r="L6" s="201">
        <f t="shared" si="0"/>
        <v>1.3464584429013771E-3</v>
      </c>
    </row>
    <row r="7" spans="1:12" ht="14.25">
      <c r="A7" s="72" t="s">
        <v>348</v>
      </c>
      <c r="B7" s="73" t="s">
        <v>3</v>
      </c>
      <c r="C7" s="208">
        <f>F13/F14</f>
        <v>2.8252679544814239</v>
      </c>
      <c r="D7" s="209"/>
      <c r="E7" s="72" t="s">
        <v>349</v>
      </c>
      <c r="F7" s="200">
        <v>15039568</v>
      </c>
      <c r="G7" s="203"/>
      <c r="H7" s="204" t="s">
        <v>350</v>
      </c>
      <c r="I7" s="200">
        <f>I47</f>
        <v>11546088</v>
      </c>
      <c r="K7" s="208">
        <v>4.4255806816916552</v>
      </c>
      <c r="L7" s="208">
        <f t="shared" si="0"/>
        <v>-1.6003127272102313</v>
      </c>
    </row>
    <row r="8" spans="1:12" ht="14.25">
      <c r="A8" s="205" t="s">
        <v>351</v>
      </c>
      <c r="B8" s="206" t="s">
        <v>209</v>
      </c>
      <c r="C8" s="210">
        <f>(F13+I39+I40)/F14</f>
        <v>9.7466834891042051</v>
      </c>
      <c r="D8" s="209"/>
      <c r="E8" s="72" t="s">
        <v>352</v>
      </c>
      <c r="F8" s="200">
        <v>644337</v>
      </c>
      <c r="G8" s="203"/>
      <c r="H8" s="204"/>
      <c r="I8" s="200"/>
      <c r="K8" s="210">
        <v>11.459043372231019</v>
      </c>
      <c r="L8" s="210">
        <f t="shared" si="0"/>
        <v>-1.7123598831268136</v>
      </c>
    </row>
    <row r="9" spans="1:12" ht="14.25">
      <c r="A9" s="72" t="s">
        <v>353</v>
      </c>
      <c r="B9" s="211" t="s">
        <v>149</v>
      </c>
      <c r="C9" s="212">
        <f>F18/(SUM(I12:I15)/2)</f>
        <v>4.9011762697546777</v>
      </c>
      <c r="D9" s="213"/>
      <c r="E9" s="72" t="s">
        <v>354</v>
      </c>
      <c r="F9" s="200">
        <v>11400057</v>
      </c>
      <c r="G9" s="203"/>
      <c r="H9" s="204" t="s">
        <v>355</v>
      </c>
      <c r="I9" s="200">
        <v>1218652</v>
      </c>
      <c r="K9" s="212">
        <v>4.8517780702868052</v>
      </c>
      <c r="L9" s="212">
        <f>C9-K9</f>
        <v>4.9398199467872494E-2</v>
      </c>
    </row>
    <row r="10" spans="1:12" ht="14.25">
      <c r="A10" s="214" t="s">
        <v>356</v>
      </c>
      <c r="B10" s="73" t="s">
        <v>129</v>
      </c>
      <c r="C10" s="208">
        <f>365/C9</f>
        <v>74.471918558087211</v>
      </c>
      <c r="D10" s="215"/>
      <c r="E10" s="216" t="s">
        <v>357</v>
      </c>
      <c r="F10" s="200">
        <v>9060030</v>
      </c>
      <c r="G10" s="203"/>
      <c r="H10" s="204" t="s">
        <v>358</v>
      </c>
      <c r="I10" s="200">
        <f>F14</f>
        <v>408185</v>
      </c>
      <c r="K10" s="208">
        <v>75.230151650036959</v>
      </c>
      <c r="L10" s="208">
        <f t="shared" si="0"/>
        <v>-0.75823309194974797</v>
      </c>
    </row>
    <row r="11" spans="1:12" ht="14.25">
      <c r="A11" s="214" t="s">
        <v>359</v>
      </c>
      <c r="B11" s="211" t="s">
        <v>360</v>
      </c>
      <c r="C11" s="208">
        <f>I18/(SUM(I17+I16)/2)</f>
        <v>2.0697893065848869</v>
      </c>
      <c r="D11" s="209"/>
      <c r="E11" s="72" t="s">
        <v>361</v>
      </c>
      <c r="F11" s="200">
        <v>4898160</v>
      </c>
      <c r="G11" s="203"/>
      <c r="H11" s="204" t="s">
        <v>362</v>
      </c>
      <c r="I11" s="200">
        <f>F13-F14</f>
        <v>745047</v>
      </c>
      <c r="K11" s="208">
        <v>2.2539958847901684</v>
      </c>
      <c r="L11" s="208">
        <f>C11-K11</f>
        <v>-0.18420657820528152</v>
      </c>
    </row>
    <row r="12" spans="1:12" ht="14.25">
      <c r="A12" s="72" t="s">
        <v>363</v>
      </c>
      <c r="B12" s="217" t="s">
        <v>364</v>
      </c>
      <c r="C12" s="218">
        <f>I18/(SUM(I27:I30)/2)</f>
        <v>4.8301857947832563</v>
      </c>
      <c r="D12" s="219"/>
      <c r="E12" s="72" t="s">
        <v>365</v>
      </c>
      <c r="F12" s="200">
        <v>304558</v>
      </c>
      <c r="G12" s="203"/>
      <c r="H12" s="204" t="s">
        <v>366</v>
      </c>
      <c r="I12" s="200">
        <v>185682</v>
      </c>
      <c r="K12" s="218">
        <v>4.4717740734113001</v>
      </c>
      <c r="L12" s="218">
        <f t="shared" si="0"/>
        <v>0.3584117213719562</v>
      </c>
    </row>
    <row r="13" spans="1:12" ht="14.25">
      <c r="A13" s="72" t="s">
        <v>367</v>
      </c>
      <c r="B13" s="211" t="s">
        <v>4</v>
      </c>
      <c r="C13" s="208">
        <f>365/C11</f>
        <v>176.34645170828671</v>
      </c>
      <c r="D13" s="215"/>
      <c r="E13" s="214" t="s">
        <v>368</v>
      </c>
      <c r="F13" s="200">
        <f>745047+408185</f>
        <v>1153232</v>
      </c>
      <c r="G13" s="203"/>
      <c r="H13" s="220" t="s">
        <v>369</v>
      </c>
      <c r="I13" s="200">
        <v>3090067</v>
      </c>
      <c r="K13" s="208">
        <v>161.9346346029283</v>
      </c>
      <c r="L13" s="208">
        <f t="shared" si="0"/>
        <v>14.411817105358409</v>
      </c>
    </row>
    <row r="14" spans="1:12" ht="14.25">
      <c r="A14" s="72" t="s">
        <v>370</v>
      </c>
      <c r="B14" s="221" t="s">
        <v>371</v>
      </c>
      <c r="C14" s="208">
        <f>F18/I23</f>
        <v>1.0371449922626381</v>
      </c>
      <c r="D14" s="209"/>
      <c r="E14" s="214" t="s">
        <v>372</v>
      </c>
      <c r="F14" s="200">
        <v>408185</v>
      </c>
      <c r="G14" s="203"/>
      <c r="H14" s="220" t="s">
        <v>373</v>
      </c>
      <c r="I14" s="200">
        <v>219940</v>
      </c>
      <c r="K14" s="208">
        <v>1.1222513726579211</v>
      </c>
      <c r="L14" s="208">
        <f t="shared" si="0"/>
        <v>-8.5106380395282955E-2</v>
      </c>
    </row>
    <row r="15" spans="1:12" ht="14.25">
      <c r="A15" s="72" t="s">
        <v>374</v>
      </c>
      <c r="B15" s="73" t="s">
        <v>375</v>
      </c>
      <c r="C15" s="208">
        <f>F18/F16</f>
        <v>0.48191588758396015</v>
      </c>
      <c r="D15" s="209"/>
      <c r="E15" s="72" t="s">
        <v>376</v>
      </c>
      <c r="F15" s="200">
        <v>614051</v>
      </c>
      <c r="G15" s="203"/>
      <c r="H15" s="220" t="s">
        <v>377</v>
      </c>
      <c r="I15" s="200">
        <v>2866032</v>
      </c>
      <c r="K15" s="208">
        <v>0.51857223522885987</v>
      </c>
      <c r="L15" s="208">
        <f t="shared" si="0"/>
        <v>-3.6656347644899723E-2</v>
      </c>
    </row>
    <row r="16" spans="1:12" ht="14.25">
      <c r="A16" s="214" t="s">
        <v>378</v>
      </c>
      <c r="B16" s="73" t="s">
        <v>379</v>
      </c>
      <c r="C16" s="201">
        <f>(F15+I10*0.8)/F16</f>
        <v>2.9075742342961109E-2</v>
      </c>
      <c r="D16" s="202"/>
      <c r="E16" s="72" t="s">
        <v>380</v>
      </c>
      <c r="F16" s="200">
        <f>(F4+I22)/2</f>
        <v>32349956.5</v>
      </c>
      <c r="G16" s="203"/>
      <c r="H16" s="204" t="s">
        <v>381</v>
      </c>
      <c r="I16" s="200">
        <v>5541227</v>
      </c>
      <c r="K16" s="201">
        <v>3.9489435291952306E-2</v>
      </c>
      <c r="L16" s="201">
        <f t="shared" si="0"/>
        <v>-1.0413692948991197E-2</v>
      </c>
    </row>
    <row r="17" spans="1:12" ht="14.25">
      <c r="A17" s="72" t="s">
        <v>382</v>
      </c>
      <c r="B17" s="73" t="s">
        <v>383</v>
      </c>
      <c r="C17" s="201">
        <f>F15/F17</f>
        <v>4.5458151048517324E-2</v>
      </c>
      <c r="D17" s="202"/>
      <c r="E17" s="72" t="s">
        <v>384</v>
      </c>
      <c r="F17" s="200">
        <f>(F5+I21)/2</f>
        <v>13508050.5</v>
      </c>
      <c r="G17" s="203"/>
      <c r="H17" s="74" t="s">
        <v>385</v>
      </c>
      <c r="I17" s="200">
        <v>5693818</v>
      </c>
      <c r="K17" s="201">
        <v>7.2614244532349798E-2</v>
      </c>
      <c r="L17" s="201">
        <f t="shared" si="0"/>
        <v>-2.7156093483832473E-2</v>
      </c>
    </row>
    <row r="18" spans="1:12" ht="14.25">
      <c r="A18" s="72" t="s">
        <v>386</v>
      </c>
      <c r="B18" s="211" t="s">
        <v>387</v>
      </c>
      <c r="C18" s="201">
        <f>I9/I19</f>
        <v>0.73494057282633085</v>
      </c>
      <c r="D18" s="202"/>
      <c r="E18" s="72" t="s">
        <v>388</v>
      </c>
      <c r="F18" s="200">
        <v>15589958</v>
      </c>
      <c r="G18" s="203"/>
      <c r="H18" s="204" t="s">
        <v>389</v>
      </c>
      <c r="I18" s="200">
        <v>11627088</v>
      </c>
      <c r="K18" s="201">
        <v>0.87634516248091265</v>
      </c>
      <c r="L18" s="201">
        <f t="shared" si="0"/>
        <v>-0.1414045896545818</v>
      </c>
    </row>
    <row r="19" spans="1:12" ht="14.25">
      <c r="A19" s="72" t="s">
        <v>390</v>
      </c>
      <c r="B19" s="211" t="s">
        <v>391</v>
      </c>
      <c r="C19" s="201">
        <f>I11/I19</f>
        <v>0.44932045322416841</v>
      </c>
      <c r="D19" s="202"/>
      <c r="E19" s="72" t="s">
        <v>392</v>
      </c>
      <c r="F19" s="200">
        <v>165816</v>
      </c>
      <c r="G19" s="203"/>
      <c r="H19" s="204" t="s">
        <v>393</v>
      </c>
      <c r="I19" s="200">
        <v>1658164</v>
      </c>
      <c r="K19" s="201">
        <v>0.76072390909463716</v>
      </c>
      <c r="L19" s="201">
        <f t="shared" si="0"/>
        <v>-0.31140345587046875</v>
      </c>
    </row>
    <row r="20" spans="1:12" ht="14.25">
      <c r="A20" s="72" t="s">
        <v>394</v>
      </c>
      <c r="B20" s="221" t="s">
        <v>5</v>
      </c>
      <c r="C20" s="201">
        <f>F15/F18</f>
        <v>3.9387598093593323E-2</v>
      </c>
      <c r="D20" s="202"/>
      <c r="E20" s="72" t="s">
        <v>395</v>
      </c>
      <c r="F20" s="200">
        <v>3560244</v>
      </c>
      <c r="G20" s="203"/>
      <c r="H20" s="204" t="s">
        <v>396</v>
      </c>
      <c r="I20" s="200">
        <v>15023650</v>
      </c>
      <c r="K20" s="201">
        <v>5.7969904510929017E-2</v>
      </c>
      <c r="L20" s="201">
        <f t="shared" si="0"/>
        <v>-1.8582306417335694E-2</v>
      </c>
    </row>
    <row r="21" spans="1:12" ht="14.25">
      <c r="A21" s="214" t="s">
        <v>397</v>
      </c>
      <c r="B21" s="73" t="s">
        <v>6</v>
      </c>
      <c r="C21" s="208">
        <f>F8/F19</f>
        <v>3.8858554059921842</v>
      </c>
      <c r="D21" s="209"/>
      <c r="E21" s="72" t="s">
        <v>398</v>
      </c>
      <c r="F21" s="200">
        <f>SUM(F22:F26)</f>
        <v>15979607</v>
      </c>
      <c r="G21" s="203"/>
      <c r="H21" s="204" t="s">
        <v>399</v>
      </c>
      <c r="I21" s="200">
        <v>13194110</v>
      </c>
      <c r="K21" s="208">
        <v>5.6589955130988567</v>
      </c>
      <c r="L21" s="208">
        <f t="shared" si="0"/>
        <v>-1.7731401071066726</v>
      </c>
    </row>
    <row r="22" spans="1:12" ht="14.25">
      <c r="A22" s="72" t="s">
        <v>400</v>
      </c>
      <c r="B22" s="73" t="s">
        <v>401</v>
      </c>
      <c r="C22" s="201">
        <f>F20/F10</f>
        <v>0.39296161270989172</v>
      </c>
      <c r="D22" s="202"/>
      <c r="E22" s="216" t="s">
        <v>287</v>
      </c>
      <c r="F22" s="200">
        <v>2887592</v>
      </c>
      <c r="G22" s="203"/>
      <c r="H22" s="204" t="s">
        <v>402</v>
      </c>
      <c r="I22" s="200">
        <v>32245602</v>
      </c>
      <c r="K22" s="201">
        <v>0.40856914530755795</v>
      </c>
      <c r="L22" s="201">
        <f t="shared" si="0"/>
        <v>-1.5607532597666229E-2</v>
      </c>
    </row>
    <row r="23" spans="1:12" ht="14.25">
      <c r="A23" s="72" t="s">
        <v>403</v>
      </c>
      <c r="B23" s="73" t="s">
        <v>7</v>
      </c>
      <c r="C23" s="201">
        <f>F21/F27</f>
        <v>1.7944194876503172</v>
      </c>
      <c r="D23" s="202"/>
      <c r="E23" s="216" t="s">
        <v>288</v>
      </c>
      <c r="F23" s="200">
        <v>2775443</v>
      </c>
      <c r="G23" s="203"/>
      <c r="H23" s="204" t="s">
        <v>404</v>
      </c>
      <c r="I23" s="200">
        <f>(F7+I20)/2</f>
        <v>15031609</v>
      </c>
      <c r="K23" s="201">
        <v>1.8123835457743724</v>
      </c>
      <c r="L23" s="201">
        <f t="shared" si="0"/>
        <v>-1.7964058124055216E-2</v>
      </c>
    </row>
    <row r="24" spans="1:12" ht="14.25">
      <c r="A24" s="72" t="s">
        <v>405</v>
      </c>
      <c r="B24" s="73" t="s">
        <v>406</v>
      </c>
      <c r="C24" s="201">
        <f>(F20-I24)/SUM(I3:I6)</f>
        <v>0.1064960397984336</v>
      </c>
      <c r="D24" s="202"/>
      <c r="E24" s="216" t="s">
        <v>407</v>
      </c>
      <c r="F24" s="200">
        <v>2920859</v>
      </c>
      <c r="G24" s="203"/>
      <c r="H24" s="204" t="s">
        <v>408</v>
      </c>
      <c r="I24" s="200">
        <f>F42</f>
        <v>381378</v>
      </c>
      <c r="K24" s="201">
        <v>0.11563923221100071</v>
      </c>
      <c r="L24" s="201">
        <f t="shared" si="0"/>
        <v>-9.1431924125671138E-3</v>
      </c>
    </row>
    <row r="25" spans="1:12" ht="14.25">
      <c r="A25" s="72" t="s">
        <v>409</v>
      </c>
      <c r="B25" s="73" t="s">
        <v>114</v>
      </c>
      <c r="C25" s="208">
        <f>(F18-I7)/I9</f>
        <v>3.3183140059672489</v>
      </c>
      <c r="D25" s="209"/>
      <c r="E25" s="216" t="s">
        <v>309</v>
      </c>
      <c r="F25" s="200">
        <v>3835469</v>
      </c>
      <c r="G25" s="203"/>
      <c r="H25" s="204" t="s">
        <v>410</v>
      </c>
      <c r="I25" s="200">
        <v>991416</v>
      </c>
      <c r="K25" s="208">
        <v>2.7823248394493518</v>
      </c>
      <c r="L25" s="208">
        <f>C26-K25</f>
        <v>-1.2786831119021476</v>
      </c>
    </row>
    <row r="26" spans="1:12" ht="14.25">
      <c r="A26" s="72" t="s">
        <v>411</v>
      </c>
      <c r="B26" s="73" t="s">
        <v>8</v>
      </c>
      <c r="C26" s="208">
        <f>I9/(I9-I10)</f>
        <v>1.5036417275472043</v>
      </c>
      <c r="D26" s="209"/>
      <c r="E26" s="216" t="s">
        <v>412</v>
      </c>
      <c r="F26" s="200">
        <f>F20</f>
        <v>3560244</v>
      </c>
      <c r="G26" s="203"/>
      <c r="H26" s="204" t="s">
        <v>413</v>
      </c>
      <c r="I26" s="200">
        <v>0</v>
      </c>
      <c r="K26" s="222">
        <v>1.3394168825865778</v>
      </c>
      <c r="L26" s="208">
        <f>C27-K26</f>
        <v>-1.3394168825865778</v>
      </c>
    </row>
    <row r="27" spans="1:12" ht="14.25">
      <c r="A27" s="72"/>
      <c r="B27" s="73"/>
      <c r="C27" s="223"/>
      <c r="D27" s="224"/>
      <c r="E27" s="214" t="s">
        <v>414</v>
      </c>
      <c r="F27" s="200">
        <f>SUM(F28:F42)</f>
        <v>8905168</v>
      </c>
      <c r="G27" s="203"/>
      <c r="H27" s="204" t="s">
        <v>415</v>
      </c>
      <c r="I27" s="200">
        <v>1604376</v>
      </c>
      <c r="K27" s="223"/>
      <c r="L27" s="223"/>
    </row>
    <row r="28" spans="1:12" ht="14.25">
      <c r="A28" s="72"/>
      <c r="B28" s="73"/>
      <c r="C28" s="223"/>
      <c r="D28" s="224"/>
      <c r="E28" s="216" t="s">
        <v>416</v>
      </c>
      <c r="F28" s="78">
        <v>544554</v>
      </c>
      <c r="G28" s="225"/>
      <c r="H28" s="204" t="s">
        <v>417</v>
      </c>
      <c r="I28" s="200">
        <v>1122491</v>
      </c>
      <c r="K28" s="223"/>
      <c r="L28" s="223"/>
    </row>
    <row r="29" spans="1:12" ht="14.25">
      <c r="A29" s="72"/>
      <c r="B29" s="73"/>
      <c r="C29" s="223"/>
      <c r="D29" s="224"/>
      <c r="E29" s="216" t="s">
        <v>418</v>
      </c>
      <c r="F29" s="78">
        <v>1007640</v>
      </c>
      <c r="G29" s="203"/>
      <c r="H29" s="204" t="s">
        <v>419</v>
      </c>
      <c r="I29" s="200">
        <v>1174716</v>
      </c>
      <c r="K29" s="223"/>
      <c r="L29" s="223"/>
    </row>
    <row r="30" spans="1:12" ht="14.25">
      <c r="A30" s="72"/>
      <c r="B30" s="73"/>
      <c r="C30" s="223"/>
      <c r="D30" s="224"/>
      <c r="E30" s="216" t="s">
        <v>420</v>
      </c>
      <c r="F30" s="78">
        <v>1054958</v>
      </c>
      <c r="G30" s="203"/>
      <c r="H30" s="204" t="s">
        <v>421</v>
      </c>
      <c r="I30" s="200">
        <v>912761</v>
      </c>
      <c r="K30" s="223"/>
      <c r="L30" s="223"/>
    </row>
    <row r="31" spans="1:12" ht="15.75">
      <c r="A31" s="288" t="s">
        <v>422</v>
      </c>
      <c r="B31" s="289"/>
      <c r="C31" s="290"/>
      <c r="D31" s="226"/>
      <c r="E31" s="216" t="s">
        <v>423</v>
      </c>
      <c r="F31" s="78">
        <v>882058</v>
      </c>
      <c r="G31" s="203"/>
      <c r="H31" s="74"/>
      <c r="I31" s="78"/>
      <c r="K31" s="66"/>
      <c r="L31" s="66"/>
    </row>
    <row r="32" spans="1:12" ht="16.5">
      <c r="A32" s="227" t="s">
        <v>424</v>
      </c>
      <c r="B32" s="211"/>
      <c r="C32" s="228"/>
      <c r="D32" s="202"/>
      <c r="E32" s="216" t="s">
        <v>425</v>
      </c>
      <c r="F32" s="229">
        <f>I25+I26</f>
        <v>991416</v>
      </c>
      <c r="G32" s="225"/>
      <c r="H32" s="74"/>
      <c r="I32" s="78"/>
      <c r="K32" s="228"/>
      <c r="L32" s="228"/>
    </row>
    <row r="33" spans="1:12" ht="14.25">
      <c r="A33" s="230" t="s">
        <v>426</v>
      </c>
      <c r="B33" s="231"/>
      <c r="C33" s="228"/>
      <c r="D33" s="202"/>
      <c r="E33" s="216" t="s">
        <v>427</v>
      </c>
      <c r="F33" s="200">
        <v>692977</v>
      </c>
      <c r="G33" s="203"/>
      <c r="H33" s="74"/>
      <c r="I33" s="78"/>
      <c r="K33" s="228"/>
      <c r="L33" s="228"/>
    </row>
    <row r="34" spans="1:12" ht="14.25">
      <c r="A34" s="232" t="s">
        <v>428</v>
      </c>
      <c r="B34" s="231"/>
      <c r="C34" s="228"/>
      <c r="D34" s="202"/>
      <c r="E34" s="216" t="s">
        <v>288</v>
      </c>
      <c r="F34" s="200">
        <v>109336</v>
      </c>
      <c r="G34" s="203"/>
      <c r="H34" s="74"/>
      <c r="I34" s="78"/>
      <c r="K34" s="228"/>
      <c r="L34" s="228"/>
    </row>
    <row r="35" spans="1:12" ht="14.25">
      <c r="A35" s="233" t="s">
        <v>429</v>
      </c>
      <c r="B35" s="211"/>
      <c r="C35" s="228"/>
      <c r="D35" s="202"/>
      <c r="E35" s="216" t="s">
        <v>407</v>
      </c>
      <c r="F35" s="200">
        <v>621563</v>
      </c>
      <c r="G35" s="203"/>
      <c r="H35" s="74"/>
      <c r="I35" s="78"/>
      <c r="K35" s="228"/>
      <c r="L35" s="228"/>
    </row>
    <row r="36" spans="1:12" ht="14.25">
      <c r="A36" s="72"/>
      <c r="B36" s="211"/>
      <c r="C36" s="228"/>
      <c r="D36" s="202"/>
      <c r="E36" s="216" t="s">
        <v>309</v>
      </c>
      <c r="F36" s="200">
        <v>354469</v>
      </c>
      <c r="G36" s="203"/>
      <c r="H36" s="74" t="s">
        <v>430</v>
      </c>
      <c r="I36" s="78">
        <f>SUM(I32:I35)</f>
        <v>0</v>
      </c>
      <c r="K36" s="228"/>
      <c r="L36" s="228"/>
    </row>
    <row r="37" spans="1:12" ht="14.25">
      <c r="A37" s="72"/>
      <c r="B37" s="211"/>
      <c r="C37" s="228"/>
      <c r="D37" s="202"/>
      <c r="E37" s="216" t="s">
        <v>431</v>
      </c>
      <c r="F37" s="200">
        <v>192114</v>
      </c>
      <c r="G37" s="203"/>
      <c r="H37" s="204"/>
      <c r="I37" s="78"/>
      <c r="K37" s="228"/>
      <c r="L37" s="228"/>
    </row>
    <row r="38" spans="1:12" ht="14.25">
      <c r="A38" s="72"/>
      <c r="B38" s="211"/>
      <c r="C38" s="228"/>
      <c r="D38" s="202"/>
      <c r="E38" s="216" t="s">
        <v>432</v>
      </c>
      <c r="F38" s="200">
        <v>746174</v>
      </c>
      <c r="G38" s="234"/>
      <c r="H38" s="204" t="s">
        <v>433</v>
      </c>
      <c r="I38" s="78">
        <v>105019</v>
      </c>
      <c r="K38" s="228"/>
      <c r="L38" s="228"/>
    </row>
    <row r="39" spans="1:12" ht="14.25">
      <c r="A39" s="72"/>
      <c r="B39" s="211"/>
      <c r="C39" s="228"/>
      <c r="D39" s="202"/>
      <c r="E39" s="216" t="s">
        <v>434</v>
      </c>
      <c r="F39" s="200">
        <v>414541</v>
      </c>
      <c r="G39" s="225"/>
      <c r="H39" s="204" t="s">
        <v>435</v>
      </c>
      <c r="I39" s="78">
        <v>2781290</v>
      </c>
      <c r="K39" s="228"/>
      <c r="L39" s="228"/>
    </row>
    <row r="40" spans="1:12" ht="14.25">
      <c r="A40" s="72"/>
      <c r="B40" s="211"/>
      <c r="C40" s="228"/>
      <c r="D40" s="202"/>
      <c r="E40" s="235" t="s">
        <v>436</v>
      </c>
      <c r="F40" s="200">
        <v>497449</v>
      </c>
      <c r="G40" s="225"/>
      <c r="H40" s="204" t="s">
        <v>437</v>
      </c>
      <c r="I40" s="78">
        <v>43928</v>
      </c>
      <c r="K40" s="228"/>
      <c r="L40" s="228"/>
    </row>
    <row r="41" spans="1:12" ht="14.25">
      <c r="A41" s="72"/>
      <c r="B41" s="211"/>
      <c r="C41" s="228"/>
      <c r="D41" s="202"/>
      <c r="E41" s="216" t="s">
        <v>423</v>
      </c>
      <c r="F41" s="200">
        <v>414541</v>
      </c>
      <c r="G41" s="236"/>
      <c r="H41" s="237"/>
      <c r="I41" s="238"/>
      <c r="K41" s="228"/>
      <c r="L41" s="228"/>
    </row>
    <row r="42" spans="1:12" ht="14.25">
      <c r="A42" s="239"/>
      <c r="B42" s="235"/>
      <c r="C42" s="240"/>
      <c r="D42" s="241"/>
      <c r="E42" s="242" t="s">
        <v>438</v>
      </c>
      <c r="F42" s="243">
        <v>381378</v>
      </c>
      <c r="G42" s="244"/>
      <c r="K42" s="240"/>
      <c r="L42" s="240"/>
    </row>
    <row r="43" spans="1:12" ht="14.25">
      <c r="F43" s="188"/>
      <c r="G43" s="188"/>
      <c r="H43" s="186" t="s">
        <v>439</v>
      </c>
    </row>
    <row r="44" spans="1:12" ht="14.25">
      <c r="E44" s="245"/>
      <c r="F44" s="188"/>
      <c r="G44" s="188"/>
      <c r="H44" s="186" t="s">
        <v>440</v>
      </c>
      <c r="I44" s="188">
        <f>I18</f>
        <v>11627088</v>
      </c>
    </row>
    <row r="45" spans="1:12" ht="14.25">
      <c r="E45" s="245"/>
      <c r="F45" s="188"/>
      <c r="G45" s="188"/>
      <c r="H45" s="186" t="s">
        <v>441</v>
      </c>
      <c r="I45" s="188">
        <v>2744218</v>
      </c>
    </row>
    <row r="46" spans="1:12" ht="14.25">
      <c r="E46" s="245"/>
      <c r="F46" s="188"/>
      <c r="G46" s="188"/>
      <c r="H46" s="186" t="s">
        <v>442</v>
      </c>
      <c r="I46" s="188">
        <f>I39+I40</f>
        <v>2825218</v>
      </c>
    </row>
    <row r="47" spans="1:12" ht="15" thickBot="1">
      <c r="E47" s="245"/>
      <c r="F47" s="188"/>
      <c r="G47" s="188"/>
      <c r="H47" s="186" t="s">
        <v>443</v>
      </c>
      <c r="I47" s="246">
        <f>I44+I45-I46</f>
        <v>11546088</v>
      </c>
    </row>
    <row r="48" spans="1:12" ht="14.25" thickTop="1">
      <c r="E48" s="245"/>
      <c r="F48" s="188"/>
      <c r="G48" s="188"/>
    </row>
    <row r="59" spans="2:2">
      <c r="B59" s="247"/>
    </row>
    <row r="60" spans="2:2">
      <c r="B60" s="248"/>
    </row>
    <row r="61" spans="2:2">
      <c r="B61" s="247"/>
    </row>
  </sheetData>
  <mergeCells count="1">
    <mergeCell ref="A31:C31"/>
  </mergeCells>
  <phoneticPr fontId="3" type="noConversion"/>
  <printOptions horizontalCentered="1"/>
  <pageMargins left="0.39370078740157483" right="0" top="1.1811023622047245" bottom="0.47244094488188981" header="0.59055118110236227" footer="0.15748031496062992"/>
  <pageSetup paperSize="9" scale="78" orientation="landscape" r:id="rId1"/>
  <headerFooter alignWithMargins="0">
    <oddHeader>&amp;L
帝寶101Q2財務比率(合併)&amp;RPreparer: DY 2012/8/17
Reviewer: KAY 2012/8/20 CH 2012/8/20 AMMY 2012/8/20
2320-2: &amp;P/&amp;N</oddHeader>
    <oddFooter>&amp;L帝寶工業股份有限公司 
Period End: 2012/6/30</oddFoot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1"/>
  </sheetPr>
  <dimension ref="A1:J61"/>
  <sheetViews>
    <sheetView topLeftCell="A4" zoomScaleNormal="100" workbookViewId="0">
      <selection activeCell="A22" sqref="A22:XFD22"/>
    </sheetView>
  </sheetViews>
  <sheetFormatPr defaultColWidth="35.7109375" defaultRowHeight="13.5"/>
  <cols>
    <col min="1" max="1" width="24" style="104" customWidth="1"/>
    <col min="2" max="2" width="26.42578125" style="102" bestFit="1" customWidth="1"/>
    <col min="3" max="3" width="10" style="103" bestFit="1" customWidth="1"/>
    <col min="4" max="4" width="2.85546875" style="103" customWidth="1"/>
    <col min="5" max="5" width="30.7109375" style="104" customWidth="1"/>
    <col min="6" max="6" width="14.85546875" style="105" bestFit="1" customWidth="1"/>
    <col min="7" max="7" width="1.140625" style="105" customWidth="1"/>
    <col min="8" max="8" width="29.28515625" style="104" customWidth="1"/>
    <col min="9" max="9" width="17.85546875" style="106" bestFit="1" customWidth="1"/>
    <col min="10" max="10" width="35.7109375" style="107"/>
    <col min="11" max="16384" width="35.7109375" style="104"/>
  </cols>
  <sheetData>
    <row r="1" spans="1:10">
      <c r="A1" s="102" t="s">
        <v>21</v>
      </c>
    </row>
    <row r="2" spans="1:10">
      <c r="A2" s="108" t="s">
        <v>324</v>
      </c>
      <c r="I2" s="109" t="s">
        <v>0</v>
      </c>
    </row>
    <row r="3" spans="1:10">
      <c r="A3" s="110" t="s">
        <v>22</v>
      </c>
      <c r="B3" s="111" t="s">
        <v>1</v>
      </c>
      <c r="C3" s="112">
        <f>F3/F4</f>
        <v>0.59274117479903921</v>
      </c>
      <c r="D3" s="113"/>
      <c r="E3" s="114" t="s">
        <v>23</v>
      </c>
      <c r="F3" s="178">
        <v>19449091</v>
      </c>
      <c r="G3" s="116"/>
      <c r="H3" s="117" t="s">
        <v>24</v>
      </c>
      <c r="I3" s="178">
        <v>22393396</v>
      </c>
    </row>
    <row r="4" spans="1:10">
      <c r="A4" s="119" t="s">
        <v>102</v>
      </c>
      <c r="B4" s="120" t="s">
        <v>100</v>
      </c>
      <c r="C4" s="121">
        <f>SUM(F5:F6)/F7</f>
        <v>1.5889237218152779</v>
      </c>
      <c r="D4" s="122"/>
      <c r="E4" s="119" t="s">
        <v>25</v>
      </c>
      <c r="F4" s="179">
        <v>32812114</v>
      </c>
      <c r="G4" s="123"/>
      <c r="H4" s="124" t="s">
        <v>26</v>
      </c>
      <c r="I4" s="179">
        <v>0</v>
      </c>
    </row>
    <row r="5" spans="1:10">
      <c r="A5" s="125" t="s">
        <v>27</v>
      </c>
      <c r="B5" s="126" t="s">
        <v>2</v>
      </c>
      <c r="C5" s="127">
        <f>F9/F10</f>
        <v>1.2283182820475429</v>
      </c>
      <c r="D5" s="122"/>
      <c r="E5" s="119" t="s">
        <v>104</v>
      </c>
      <c r="F5" s="179">
        <f>F4-F3</f>
        <v>13363023</v>
      </c>
      <c r="G5" s="123"/>
      <c r="H5" s="124" t="s">
        <v>112</v>
      </c>
      <c r="I5" s="179">
        <v>5299549</v>
      </c>
    </row>
    <row r="6" spans="1:10">
      <c r="A6" s="119" t="s">
        <v>28</v>
      </c>
      <c r="B6" s="120" t="s">
        <v>14</v>
      </c>
      <c r="C6" s="121">
        <f>(F9-F11-I38)/F10</f>
        <v>0.64752711782567829</v>
      </c>
      <c r="D6" s="122"/>
      <c r="E6" s="119" t="s">
        <v>101</v>
      </c>
      <c r="F6" s="179">
        <v>10061078</v>
      </c>
      <c r="G6" s="123"/>
      <c r="H6" s="124" t="s">
        <v>29</v>
      </c>
      <c r="I6" s="179">
        <f>F9-F10</f>
        <v>2143455</v>
      </c>
    </row>
    <row r="7" spans="1:10">
      <c r="A7" s="119" t="s">
        <v>30</v>
      </c>
      <c r="B7" s="120" t="s">
        <v>3</v>
      </c>
      <c r="C7" s="128">
        <f>F13/F14</f>
        <v>3.3384120794384144</v>
      </c>
      <c r="D7" s="129"/>
      <c r="E7" s="119" t="s">
        <v>109</v>
      </c>
      <c r="F7" s="179">
        <v>14742118</v>
      </c>
      <c r="G7" s="123"/>
      <c r="H7" s="124" t="s">
        <v>31</v>
      </c>
      <c r="I7" s="179">
        <f>I47</f>
        <v>8454017</v>
      </c>
    </row>
    <row r="8" spans="1:10">
      <c r="A8" s="125" t="s">
        <v>32</v>
      </c>
      <c r="B8" s="126" t="s">
        <v>18</v>
      </c>
      <c r="C8" s="130">
        <f>(F13+I39+I40)/F14</f>
        <v>10.256603293740199</v>
      </c>
      <c r="D8" s="129"/>
      <c r="E8" s="119" t="s">
        <v>121</v>
      </c>
      <c r="F8" s="179">
        <v>586065</v>
      </c>
      <c r="G8" s="123"/>
      <c r="H8" s="124"/>
      <c r="I8" s="131"/>
      <c r="J8" s="180"/>
    </row>
    <row r="9" spans="1:10">
      <c r="A9" s="119" t="s">
        <v>33</v>
      </c>
      <c r="B9" s="132" t="s">
        <v>169</v>
      </c>
      <c r="C9" s="133">
        <f>F18/3*4/(SUM(I12:I15)/2)</f>
        <v>4.7257168395809472</v>
      </c>
      <c r="D9" s="134"/>
      <c r="E9" s="119" t="s">
        <v>34</v>
      </c>
      <c r="F9" s="179">
        <v>11531468</v>
      </c>
      <c r="G9" s="123"/>
      <c r="H9" s="124" t="s">
        <v>35</v>
      </c>
      <c r="I9" s="179">
        <v>973395</v>
      </c>
    </row>
    <row r="10" spans="1:10">
      <c r="A10" s="135" t="s">
        <v>36</v>
      </c>
      <c r="B10" s="120" t="s">
        <v>129</v>
      </c>
      <c r="C10" s="128">
        <f>365/C9</f>
        <v>77.236959468855176</v>
      </c>
      <c r="D10" s="136"/>
      <c r="E10" s="137" t="s">
        <v>37</v>
      </c>
      <c r="F10" s="179">
        <v>9388013</v>
      </c>
      <c r="G10" s="123"/>
      <c r="H10" s="124" t="s">
        <v>38</v>
      </c>
      <c r="I10" s="179">
        <f>F14</f>
        <v>306703</v>
      </c>
    </row>
    <row r="11" spans="1:10">
      <c r="A11" s="135" t="s">
        <v>39</v>
      </c>
      <c r="B11" s="132" t="s">
        <v>170</v>
      </c>
      <c r="C11" s="128">
        <f>I18/3*4/(SUM(I16+I17)/2)</f>
        <v>1.963710114672983</v>
      </c>
      <c r="D11" s="129"/>
      <c r="E11" s="119" t="s">
        <v>40</v>
      </c>
      <c r="F11" s="179">
        <v>5310399</v>
      </c>
      <c r="G11" s="123"/>
      <c r="H11" s="124" t="s">
        <v>41</v>
      </c>
      <c r="I11" s="179">
        <f>F13-F14</f>
        <v>717198</v>
      </c>
    </row>
    <row r="12" spans="1:10">
      <c r="A12" s="119" t="s">
        <v>42</v>
      </c>
      <c r="B12" s="177" t="s">
        <v>171</v>
      </c>
      <c r="C12" s="139">
        <f>I18/3*4/(SUM(I27:I30)/2)</f>
        <v>4.5515570765404574</v>
      </c>
      <c r="D12" s="140"/>
      <c r="E12" s="119" t="s">
        <v>88</v>
      </c>
      <c r="F12" s="179">
        <v>367645</v>
      </c>
      <c r="G12" s="123"/>
      <c r="H12" s="124" t="s">
        <v>43</v>
      </c>
      <c r="I12" s="179">
        <v>185682</v>
      </c>
      <c r="J12" s="180"/>
    </row>
    <row r="13" spans="1:10">
      <c r="A13" s="119" t="s">
        <v>44</v>
      </c>
      <c r="B13" s="141" t="s">
        <v>4</v>
      </c>
      <c r="C13" s="128">
        <f>365/C11</f>
        <v>185.8726485506663</v>
      </c>
      <c r="D13" s="136"/>
      <c r="E13" s="135" t="s">
        <v>87</v>
      </c>
      <c r="F13" s="179">
        <f>306703+717198</f>
        <v>1023901</v>
      </c>
      <c r="G13" s="123"/>
      <c r="H13" s="142" t="s">
        <v>45</v>
      </c>
      <c r="I13" s="179">
        <v>3090067</v>
      </c>
      <c r="J13" s="180"/>
    </row>
    <row r="14" spans="1:10">
      <c r="A14" s="119" t="s">
        <v>103</v>
      </c>
      <c r="B14" s="143" t="s">
        <v>172</v>
      </c>
      <c r="C14" s="128">
        <f>F18/3*4/I23</f>
        <v>1.0346777770580846</v>
      </c>
      <c r="D14" s="129"/>
      <c r="E14" s="135" t="s">
        <v>46</v>
      </c>
      <c r="F14" s="179">
        <v>306703</v>
      </c>
      <c r="G14" s="123"/>
      <c r="H14" s="142" t="s">
        <v>47</v>
      </c>
      <c r="I14" s="179">
        <v>224041</v>
      </c>
    </row>
    <row r="15" spans="1:10">
      <c r="A15" s="119" t="s">
        <v>48</v>
      </c>
      <c r="B15" s="144" t="s">
        <v>173</v>
      </c>
      <c r="C15" s="128">
        <f>F18/3*4/F16</f>
        <v>0.47339471103883618</v>
      </c>
      <c r="D15" s="129"/>
      <c r="E15" s="119" t="s">
        <v>49</v>
      </c>
      <c r="F15" s="179">
        <v>573273</v>
      </c>
      <c r="G15" s="123"/>
      <c r="H15" s="142" t="s">
        <v>50</v>
      </c>
      <c r="I15" s="179">
        <v>3017312</v>
      </c>
    </row>
    <row r="16" spans="1:10">
      <c r="A16" s="135" t="s">
        <v>51</v>
      </c>
      <c r="B16" s="144" t="s">
        <v>322</v>
      </c>
      <c r="C16" s="121">
        <f>(F15+I10*0.8)/3*4/F16</f>
        <v>3.3555247056833867E-2</v>
      </c>
      <c r="D16" s="122"/>
      <c r="E16" s="119" t="s">
        <v>52</v>
      </c>
      <c r="F16" s="179">
        <f>(F4+I22)/2</f>
        <v>32528858</v>
      </c>
      <c r="G16" s="123"/>
      <c r="H16" s="124" t="s">
        <v>53</v>
      </c>
      <c r="I16" s="179">
        <v>5541227</v>
      </c>
    </row>
    <row r="17" spans="1:9">
      <c r="A17" s="119" t="s">
        <v>54</v>
      </c>
      <c r="B17" s="144" t="s">
        <v>175</v>
      </c>
      <c r="C17" s="121">
        <f>F15/3*4/F17</f>
        <v>5.756374379719377E-2</v>
      </c>
      <c r="D17" s="122"/>
      <c r="E17" s="119" t="s">
        <v>55</v>
      </c>
      <c r="F17" s="179">
        <f>(F5+I21)/2</f>
        <v>13278566.5</v>
      </c>
      <c r="G17" s="123"/>
      <c r="H17" s="145" t="s">
        <v>56</v>
      </c>
      <c r="I17" s="179">
        <v>6016741</v>
      </c>
    </row>
    <row r="18" spans="1:9">
      <c r="A18" s="119" t="s">
        <v>57</v>
      </c>
      <c r="B18" s="141" t="s">
        <v>84</v>
      </c>
      <c r="C18" s="121">
        <f>I9/I19</f>
        <v>0.5870318014382172</v>
      </c>
      <c r="D18" s="122"/>
      <c r="E18" s="119" t="s">
        <v>58</v>
      </c>
      <c r="F18" s="179">
        <v>11549242</v>
      </c>
      <c r="G18" s="123"/>
      <c r="H18" s="124" t="s">
        <v>59</v>
      </c>
      <c r="I18" s="179">
        <v>8511187</v>
      </c>
    </row>
    <row r="19" spans="1:9">
      <c r="A19" s="119" t="s">
        <v>60</v>
      </c>
      <c r="B19" s="141" t="s">
        <v>85</v>
      </c>
      <c r="C19" s="121">
        <f>I11/I19</f>
        <v>0.43252537143491238</v>
      </c>
      <c r="D19" s="122"/>
      <c r="E19" s="119" t="s">
        <v>61</v>
      </c>
      <c r="F19" s="179">
        <v>165816</v>
      </c>
      <c r="G19" s="123"/>
      <c r="H19" s="124" t="s">
        <v>62</v>
      </c>
      <c r="I19" s="179">
        <v>1658164</v>
      </c>
    </row>
    <row r="20" spans="1:9">
      <c r="A20" s="119" t="s">
        <v>63</v>
      </c>
      <c r="B20" s="146" t="s">
        <v>5</v>
      </c>
      <c r="C20" s="121">
        <f>F15/F18</f>
        <v>4.9637283555059288E-2</v>
      </c>
      <c r="D20" s="122"/>
      <c r="E20" s="119" t="s">
        <v>64</v>
      </c>
      <c r="F20" s="179">
        <v>2209012</v>
      </c>
      <c r="G20" s="123"/>
      <c r="H20" s="124" t="s">
        <v>105</v>
      </c>
      <c r="I20" s="179">
        <v>15023650</v>
      </c>
    </row>
    <row r="21" spans="1:9">
      <c r="A21" s="135" t="s">
        <v>65</v>
      </c>
      <c r="B21" s="120" t="s">
        <v>6</v>
      </c>
      <c r="C21" s="128">
        <f>F8/F19</f>
        <v>3.534429729338544</v>
      </c>
      <c r="D21" s="129"/>
      <c r="E21" s="119" t="s">
        <v>66</v>
      </c>
      <c r="F21" s="179">
        <f>SUM(F22:F26)</f>
        <v>14628375</v>
      </c>
      <c r="G21" s="123"/>
      <c r="H21" s="124" t="s">
        <v>106</v>
      </c>
      <c r="I21" s="179">
        <v>13194110</v>
      </c>
    </row>
    <row r="22" spans="1:9">
      <c r="A22" s="119" t="s">
        <v>67</v>
      </c>
      <c r="B22" s="144" t="s">
        <v>176</v>
      </c>
      <c r="C22" s="176">
        <f>F20/3*4/F10</f>
        <v>0.31373511448411218</v>
      </c>
      <c r="D22" s="122"/>
      <c r="E22" s="137" t="s">
        <v>287</v>
      </c>
      <c r="F22" s="179">
        <v>2887592</v>
      </c>
      <c r="G22" s="123"/>
      <c r="H22" s="124" t="s">
        <v>68</v>
      </c>
      <c r="I22" s="179">
        <v>32245602</v>
      </c>
    </row>
    <row r="23" spans="1:9">
      <c r="A23" s="119" t="s">
        <v>69</v>
      </c>
      <c r="B23" s="120" t="s">
        <v>7</v>
      </c>
      <c r="C23" s="121">
        <f>F21/F27</f>
        <v>1.6934617589948957</v>
      </c>
      <c r="D23" s="122"/>
      <c r="E23" s="137" t="s">
        <v>288</v>
      </c>
      <c r="F23" s="179">
        <v>2775443</v>
      </c>
      <c r="G23" s="123"/>
      <c r="H23" s="124" t="s">
        <v>110</v>
      </c>
      <c r="I23" s="179">
        <f>(F7+I20)/2</f>
        <v>14882884</v>
      </c>
    </row>
    <row r="24" spans="1:9">
      <c r="A24" s="119" t="s">
        <v>70</v>
      </c>
      <c r="B24" s="120" t="s">
        <v>86</v>
      </c>
      <c r="C24" s="121">
        <f>(F20-I24)/SUM(I3:I6)</f>
        <v>6.1255178238661501E-2</v>
      </c>
      <c r="D24" s="122"/>
      <c r="E24" s="137" t="s">
        <v>289</v>
      </c>
      <c r="F24" s="179">
        <v>2920859</v>
      </c>
      <c r="G24" s="123"/>
      <c r="H24" s="124" t="s">
        <v>71</v>
      </c>
      <c r="I24" s="179">
        <f>F42</f>
        <v>381378</v>
      </c>
    </row>
    <row r="25" spans="1:9">
      <c r="A25" s="119" t="s">
        <v>296</v>
      </c>
      <c r="B25" s="120" t="s">
        <v>114</v>
      </c>
      <c r="C25" s="128">
        <f>(F18-I7)/I9</f>
        <v>3.1798242234652943</v>
      </c>
      <c r="D25" s="129"/>
      <c r="E25" s="137" t="s">
        <v>310</v>
      </c>
      <c r="F25" s="179">
        <v>3835469</v>
      </c>
      <c r="G25" s="123"/>
      <c r="H25" s="124" t="s">
        <v>73</v>
      </c>
      <c r="I25" s="179">
        <v>436350</v>
      </c>
    </row>
    <row r="26" spans="1:9">
      <c r="A26" s="119" t="s">
        <v>72</v>
      </c>
      <c r="B26" s="120" t="s">
        <v>8</v>
      </c>
      <c r="C26" s="128">
        <f>I9/(I9-I10)</f>
        <v>1.4600370185932934</v>
      </c>
      <c r="D26" s="129"/>
      <c r="E26" s="137" t="s">
        <v>325</v>
      </c>
      <c r="F26" s="179">
        <f>F20</f>
        <v>2209012</v>
      </c>
      <c r="G26" s="123"/>
      <c r="H26" s="124" t="s">
        <v>75</v>
      </c>
      <c r="I26" s="179">
        <v>0</v>
      </c>
    </row>
    <row r="27" spans="1:9">
      <c r="A27" s="119"/>
      <c r="B27" s="120"/>
      <c r="C27" s="147"/>
      <c r="D27" s="148"/>
      <c r="E27" s="135" t="s">
        <v>76</v>
      </c>
      <c r="F27" s="179">
        <f>SUM(F28:F42)</f>
        <v>8638149</v>
      </c>
      <c r="G27" s="123"/>
      <c r="H27" s="124" t="s">
        <v>77</v>
      </c>
      <c r="I27" s="179">
        <v>1604376</v>
      </c>
    </row>
    <row r="28" spans="1:9">
      <c r="A28" s="119"/>
      <c r="B28" s="120"/>
      <c r="C28" s="147"/>
      <c r="D28" s="148"/>
      <c r="E28" s="137" t="s">
        <v>311</v>
      </c>
      <c r="F28" s="179">
        <v>544554</v>
      </c>
      <c r="G28" s="150"/>
      <c r="H28" s="124" t="s">
        <v>78</v>
      </c>
      <c r="I28" s="179">
        <v>1122491</v>
      </c>
    </row>
    <row r="29" spans="1:9">
      <c r="A29" s="119"/>
      <c r="B29" s="120"/>
      <c r="C29" s="147"/>
      <c r="D29" s="148"/>
      <c r="E29" s="137" t="s">
        <v>288</v>
      </c>
      <c r="F29" s="179">
        <v>1007640</v>
      </c>
      <c r="G29" s="123"/>
      <c r="H29" s="124" t="s">
        <v>79</v>
      </c>
      <c r="I29" s="179">
        <v>1239640</v>
      </c>
    </row>
    <row r="30" spans="1:9">
      <c r="A30" s="119"/>
      <c r="B30" s="120"/>
      <c r="C30" s="147"/>
      <c r="D30" s="148"/>
      <c r="E30" s="137" t="s">
        <v>289</v>
      </c>
      <c r="F30" s="179">
        <v>1054958</v>
      </c>
      <c r="G30" s="123"/>
      <c r="H30" s="124" t="s">
        <v>80</v>
      </c>
      <c r="I30" s="179">
        <v>1020028</v>
      </c>
    </row>
    <row r="31" spans="1:9">
      <c r="A31" s="285" t="s">
        <v>9</v>
      </c>
      <c r="B31" s="286"/>
      <c r="C31" s="287"/>
      <c r="D31" s="151"/>
      <c r="E31" s="137" t="s">
        <v>309</v>
      </c>
      <c r="F31" s="179">
        <v>882058</v>
      </c>
      <c r="G31" s="123"/>
      <c r="H31" s="145"/>
      <c r="I31" s="152"/>
    </row>
    <row r="32" spans="1:9">
      <c r="A32" s="153" t="s">
        <v>10</v>
      </c>
      <c r="B32" s="141"/>
      <c r="C32" s="154"/>
      <c r="D32" s="122"/>
      <c r="E32" s="137" t="s">
        <v>326</v>
      </c>
      <c r="F32" s="179">
        <f>I25+I26</f>
        <v>436350</v>
      </c>
      <c r="G32" s="150"/>
      <c r="H32" s="145"/>
      <c r="I32" s="152"/>
    </row>
    <row r="33" spans="1:10">
      <c r="A33" s="155" t="s">
        <v>11</v>
      </c>
      <c r="B33" s="156"/>
      <c r="C33" s="154"/>
      <c r="D33" s="122"/>
      <c r="E33" s="137" t="s">
        <v>312</v>
      </c>
      <c r="F33" s="179">
        <v>692977</v>
      </c>
      <c r="G33" s="123"/>
      <c r="H33" s="145"/>
      <c r="I33" s="152"/>
    </row>
    <row r="34" spans="1:10">
      <c r="A34" s="157" t="s">
        <v>12</v>
      </c>
      <c r="B34" s="156"/>
      <c r="C34" s="154"/>
      <c r="D34" s="122"/>
      <c r="E34" s="137" t="s">
        <v>288</v>
      </c>
      <c r="F34" s="179">
        <v>109336</v>
      </c>
      <c r="G34" s="123"/>
      <c r="H34" s="145"/>
      <c r="I34" s="158"/>
    </row>
    <row r="35" spans="1:10">
      <c r="A35" s="159" t="s">
        <v>13</v>
      </c>
      <c r="B35" s="141"/>
      <c r="C35" s="154"/>
      <c r="D35" s="122"/>
      <c r="E35" s="137" t="s">
        <v>289</v>
      </c>
      <c r="F35" s="179">
        <v>621563</v>
      </c>
      <c r="G35" s="123"/>
      <c r="H35" s="145"/>
      <c r="I35" s="158"/>
    </row>
    <row r="36" spans="1:10">
      <c r="A36" s="119"/>
      <c r="B36" s="141"/>
      <c r="C36" s="154"/>
      <c r="D36" s="122"/>
      <c r="E36" s="137" t="s">
        <v>309</v>
      </c>
      <c r="F36" s="179">
        <v>354469</v>
      </c>
      <c r="G36" s="123"/>
      <c r="H36" s="145" t="s">
        <v>81</v>
      </c>
      <c r="I36" s="160">
        <f>SUM(I32:I35)</f>
        <v>0</v>
      </c>
      <c r="J36" s="107" t="s">
        <v>327</v>
      </c>
    </row>
    <row r="37" spans="1:10">
      <c r="A37" s="119"/>
      <c r="B37" s="141"/>
      <c r="C37" s="154"/>
      <c r="D37" s="122"/>
      <c r="E37" s="137" t="s">
        <v>328</v>
      </c>
      <c r="F37" s="179">
        <v>480161</v>
      </c>
      <c r="G37" s="123"/>
      <c r="H37" s="124"/>
      <c r="I37" s="158"/>
    </row>
    <row r="38" spans="1:10">
      <c r="A38" s="119"/>
      <c r="B38" s="141"/>
      <c r="C38" s="154"/>
      <c r="D38" s="122"/>
      <c r="E38" s="137" t="s">
        <v>313</v>
      </c>
      <c r="F38" s="179">
        <v>746174</v>
      </c>
      <c r="G38" s="161"/>
      <c r="H38" s="124" t="s">
        <v>82</v>
      </c>
      <c r="I38" s="160">
        <v>142076</v>
      </c>
    </row>
    <row r="39" spans="1:10">
      <c r="A39" s="119"/>
      <c r="B39" s="141"/>
      <c r="C39" s="154"/>
      <c r="D39" s="122"/>
      <c r="E39" s="137" t="s">
        <v>288</v>
      </c>
      <c r="F39" s="179">
        <v>414541</v>
      </c>
      <c r="G39" s="150"/>
      <c r="H39" s="124" t="s">
        <v>120</v>
      </c>
      <c r="I39" s="160">
        <v>2089136</v>
      </c>
    </row>
    <row r="40" spans="1:10">
      <c r="A40" s="119"/>
      <c r="B40" s="141"/>
      <c r="C40" s="154"/>
      <c r="D40" s="122"/>
      <c r="E40" s="137" t="s">
        <v>289</v>
      </c>
      <c r="F40" s="179">
        <v>497449</v>
      </c>
      <c r="G40" s="150"/>
      <c r="H40" s="124" t="s">
        <v>17</v>
      </c>
      <c r="I40" s="160">
        <v>32694</v>
      </c>
    </row>
    <row r="41" spans="1:10">
      <c r="A41" s="119"/>
      <c r="B41" s="141"/>
      <c r="C41" s="154"/>
      <c r="D41" s="122"/>
      <c r="E41" s="137" t="s">
        <v>309</v>
      </c>
      <c r="F41" s="179">
        <v>414541</v>
      </c>
      <c r="G41" s="162"/>
      <c r="H41" s="163"/>
      <c r="I41" s="164"/>
    </row>
    <row r="42" spans="1:10">
      <c r="A42" s="165"/>
      <c r="B42" s="166"/>
      <c r="C42" s="167"/>
      <c r="D42" s="168"/>
      <c r="E42" s="166" t="s">
        <v>329</v>
      </c>
      <c r="F42" s="181">
        <v>381378</v>
      </c>
      <c r="G42" s="169"/>
    </row>
    <row r="43" spans="1:10">
      <c r="F43" s="106"/>
      <c r="G43" s="106"/>
      <c r="H43" s="104" t="s">
        <v>115</v>
      </c>
    </row>
    <row r="44" spans="1:10">
      <c r="E44" s="170"/>
      <c r="F44" s="106"/>
      <c r="G44" s="106"/>
      <c r="H44" s="104" t="s">
        <v>116</v>
      </c>
      <c r="I44" s="182">
        <f>I18</f>
        <v>8511187</v>
      </c>
    </row>
    <row r="45" spans="1:10">
      <c r="E45" s="170"/>
      <c r="F45" s="106"/>
      <c r="G45" s="106"/>
      <c r="H45" s="104" t="s">
        <v>117</v>
      </c>
      <c r="I45" s="182">
        <v>2064660</v>
      </c>
    </row>
    <row r="46" spans="1:10">
      <c r="E46" s="170"/>
      <c r="F46" s="106"/>
      <c r="G46" s="106"/>
      <c r="H46" s="104" t="s">
        <v>118</v>
      </c>
      <c r="I46" s="182">
        <f>I39+I40</f>
        <v>2121830</v>
      </c>
    </row>
    <row r="47" spans="1:10" ht="14.25" thickBot="1">
      <c r="E47" s="170"/>
      <c r="F47" s="106"/>
      <c r="G47" s="106"/>
      <c r="H47" s="104" t="s">
        <v>119</v>
      </c>
      <c r="I47" s="183">
        <f>I44+I45-I46</f>
        <v>8454017</v>
      </c>
    </row>
    <row r="48" spans="1:10" ht="14.25" thickTop="1">
      <c r="E48" s="170"/>
      <c r="F48" s="106"/>
      <c r="G48" s="106"/>
    </row>
    <row r="59" spans="2:2">
      <c r="B59" s="173"/>
    </row>
    <row r="60" spans="2:2">
      <c r="B60" s="174"/>
    </row>
    <row r="61" spans="2:2">
      <c r="B61" s="173"/>
    </row>
  </sheetData>
  <mergeCells count="1">
    <mergeCell ref="A31:C31"/>
  </mergeCells>
  <phoneticPr fontId="3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61"/>
  <sheetViews>
    <sheetView zoomScale="120" zoomScaleNormal="120" zoomScaleSheetLayoutView="100" workbookViewId="0">
      <pane ySplit="2" topLeftCell="A12" activePane="bottomLeft" state="frozen"/>
      <selection activeCell="A30" sqref="A30"/>
      <selection pane="bottomLeft" activeCell="F5" sqref="F5"/>
    </sheetView>
  </sheetViews>
  <sheetFormatPr defaultColWidth="31.28515625" defaultRowHeight="13.5"/>
  <cols>
    <col min="1" max="1" width="21" style="104" customWidth="1"/>
    <col min="2" max="2" width="23.140625" style="102" bestFit="1" customWidth="1"/>
    <col min="3" max="3" width="8.7109375" style="103" bestFit="1" customWidth="1"/>
    <col min="4" max="4" width="2.5703125" style="103" customWidth="1"/>
    <col min="5" max="5" width="26.85546875" style="104" customWidth="1"/>
    <col min="6" max="6" width="13" style="105" bestFit="1" customWidth="1"/>
    <col min="7" max="7" width="1" style="105" customWidth="1"/>
    <col min="8" max="8" width="25.5703125" style="104" customWidth="1"/>
    <col min="9" max="9" width="15.5703125" style="106" bestFit="1" customWidth="1"/>
    <col min="10" max="10" width="31.28515625" style="107"/>
    <col min="11" max="16384" width="31.28515625" style="104"/>
  </cols>
  <sheetData>
    <row r="1" spans="1:9">
      <c r="A1" s="102" t="s">
        <v>21</v>
      </c>
    </row>
    <row r="2" spans="1:9">
      <c r="A2" s="108" t="s">
        <v>314</v>
      </c>
      <c r="I2" s="109" t="s">
        <v>0</v>
      </c>
    </row>
    <row r="3" spans="1:9">
      <c r="A3" s="110" t="s">
        <v>22</v>
      </c>
      <c r="B3" s="111" t="s">
        <v>1</v>
      </c>
      <c r="C3" s="112">
        <f>F3/F4</f>
        <v>0.60103981810646179</v>
      </c>
      <c r="D3" s="113"/>
      <c r="E3" s="114" t="s">
        <v>23</v>
      </c>
      <c r="F3" s="115">
        <v>20093617</v>
      </c>
      <c r="G3" s="116"/>
      <c r="H3" s="117" t="s">
        <v>24</v>
      </c>
      <c r="I3" s="115">
        <v>22609440</v>
      </c>
    </row>
    <row r="4" spans="1:9">
      <c r="A4" s="119" t="s">
        <v>102</v>
      </c>
      <c r="B4" s="120" t="s">
        <v>100</v>
      </c>
      <c r="C4" s="121">
        <f>SUM(F5:F6)/F7</f>
        <v>1.5597231672150713</v>
      </c>
      <c r="D4" s="122"/>
      <c r="E4" s="119" t="s">
        <v>25</v>
      </c>
      <c r="F4" s="118">
        <v>33431424</v>
      </c>
      <c r="G4" s="123"/>
      <c r="H4" s="124" t="s">
        <v>26</v>
      </c>
      <c r="I4" s="118">
        <v>0</v>
      </c>
    </row>
    <row r="5" spans="1:9">
      <c r="A5" s="125" t="s">
        <v>27</v>
      </c>
      <c r="B5" s="126" t="s">
        <v>2</v>
      </c>
      <c r="C5" s="127">
        <f>F9/F10</f>
        <v>1.1928565690808188</v>
      </c>
      <c r="D5" s="122"/>
      <c r="E5" s="119" t="s">
        <v>104</v>
      </c>
      <c r="F5" s="118">
        <v>13337807</v>
      </c>
      <c r="G5" s="123"/>
      <c r="H5" s="124" t="s">
        <v>112</v>
      </c>
      <c r="I5" s="118">
        <v>5182392</v>
      </c>
    </row>
    <row r="6" spans="1:9">
      <c r="A6" s="119" t="s">
        <v>28</v>
      </c>
      <c r="B6" s="120" t="s">
        <v>14</v>
      </c>
      <c r="C6" s="121">
        <f>(F9-F11-I38)/F10</f>
        <v>0.64568797517593535</v>
      </c>
      <c r="D6" s="122"/>
      <c r="E6" s="119" t="s">
        <v>101</v>
      </c>
      <c r="F6" s="118">
        <v>10097188</v>
      </c>
      <c r="G6" s="123"/>
      <c r="H6" s="124" t="s">
        <v>29</v>
      </c>
      <c r="I6" s="118">
        <f>F9-F10</f>
        <v>1927877</v>
      </c>
    </row>
    <row r="7" spans="1:9">
      <c r="A7" s="119" t="s">
        <v>30</v>
      </c>
      <c r="B7" s="120" t="s">
        <v>3</v>
      </c>
      <c r="C7" s="128">
        <f>F13/F14</f>
        <v>4.0734892720174134</v>
      </c>
      <c r="D7" s="129"/>
      <c r="E7" s="119" t="s">
        <v>109</v>
      </c>
      <c r="F7" s="118">
        <v>15025099</v>
      </c>
      <c r="G7" s="123"/>
      <c r="H7" s="124" t="s">
        <v>31</v>
      </c>
      <c r="I7" s="118">
        <f>I47</f>
        <v>5694573</v>
      </c>
    </row>
    <row r="8" spans="1:9">
      <c r="A8" s="125" t="s">
        <v>32</v>
      </c>
      <c r="B8" s="126" t="s">
        <v>18</v>
      </c>
      <c r="C8" s="130">
        <f>(F13+I39+I40)/F14</f>
        <v>11.052704576976423</v>
      </c>
      <c r="D8" s="129"/>
      <c r="E8" s="119" t="s">
        <v>121</v>
      </c>
      <c r="F8" s="118">
        <v>498283</v>
      </c>
      <c r="G8" s="123"/>
      <c r="H8" s="124"/>
      <c r="I8" s="131"/>
    </row>
    <row r="9" spans="1:9">
      <c r="A9" s="119" t="s">
        <v>33</v>
      </c>
      <c r="B9" s="132" t="s">
        <v>319</v>
      </c>
      <c r="C9" s="133">
        <f>F18*2/(SUM(I12:I15)/2)</f>
        <v>4.7584958536682569</v>
      </c>
      <c r="D9" s="134"/>
      <c r="E9" s="119" t="s">
        <v>34</v>
      </c>
      <c r="F9" s="118">
        <v>11924306</v>
      </c>
      <c r="G9" s="123"/>
      <c r="H9" s="124" t="s">
        <v>35</v>
      </c>
      <c r="I9" s="118">
        <v>682615</v>
      </c>
    </row>
    <row r="10" spans="1:9">
      <c r="A10" s="135" t="s">
        <v>36</v>
      </c>
      <c r="B10" s="120" t="s">
        <v>129</v>
      </c>
      <c r="C10" s="128">
        <f>365/C9</f>
        <v>76.704910800463693</v>
      </c>
      <c r="D10" s="136"/>
      <c r="E10" s="137" t="s">
        <v>37</v>
      </c>
      <c r="F10" s="118">
        <v>9996429</v>
      </c>
      <c r="G10" s="123"/>
      <c r="H10" s="124" t="s">
        <v>38</v>
      </c>
      <c r="I10" s="118">
        <f>F14</f>
        <v>202601</v>
      </c>
    </row>
    <row r="11" spans="1:9">
      <c r="A11" s="135" t="s">
        <v>39</v>
      </c>
      <c r="B11" s="132" t="s">
        <v>170</v>
      </c>
      <c r="C11" s="128">
        <f>I18*2/(SUM(I16+I17)/2)</f>
        <v>1.9847573293893424</v>
      </c>
      <c r="D11" s="129"/>
      <c r="E11" s="119" t="s">
        <v>40</v>
      </c>
      <c r="F11" s="118">
        <v>5331293</v>
      </c>
      <c r="G11" s="123"/>
      <c r="H11" s="124" t="s">
        <v>41</v>
      </c>
      <c r="I11" s="118">
        <f>F13-F14</f>
        <v>622692</v>
      </c>
    </row>
    <row r="12" spans="1:9">
      <c r="A12" s="119" t="s">
        <v>42</v>
      </c>
      <c r="B12" s="177" t="s">
        <v>171</v>
      </c>
      <c r="C12" s="139">
        <f>I18*2/(SUM(I27:I30)/2)</f>
        <v>4.3484824798784585</v>
      </c>
      <c r="D12" s="140"/>
      <c r="E12" s="119" t="s">
        <v>88</v>
      </c>
      <c r="F12" s="118">
        <v>362166</v>
      </c>
      <c r="G12" s="123"/>
      <c r="H12" s="124" t="s">
        <v>43</v>
      </c>
      <c r="I12" s="118">
        <v>185682</v>
      </c>
    </row>
    <row r="13" spans="1:9">
      <c r="A13" s="119" t="s">
        <v>44</v>
      </c>
      <c r="B13" s="141" t="s">
        <v>4</v>
      </c>
      <c r="C13" s="128">
        <f>365/C11</f>
        <v>183.90157557060184</v>
      </c>
      <c r="D13" s="136"/>
      <c r="E13" s="135" t="s">
        <v>87</v>
      </c>
      <c r="F13" s="118">
        <f>622692+202601</f>
        <v>825293</v>
      </c>
      <c r="G13" s="123"/>
      <c r="H13" s="142" t="s">
        <v>45</v>
      </c>
      <c r="I13" s="118">
        <v>3090067</v>
      </c>
    </row>
    <row r="14" spans="1:9">
      <c r="A14" s="119" t="s">
        <v>103</v>
      </c>
      <c r="B14" s="143" t="s">
        <v>320</v>
      </c>
      <c r="C14" s="128">
        <f>F18*2/I23</f>
        <v>1.0371392166775395</v>
      </c>
      <c r="D14" s="129"/>
      <c r="E14" s="135" t="s">
        <v>46</v>
      </c>
      <c r="F14" s="118">
        <v>202601</v>
      </c>
      <c r="G14" s="123"/>
      <c r="H14" s="142" t="s">
        <v>47</v>
      </c>
      <c r="I14" s="118">
        <v>190515</v>
      </c>
    </row>
    <row r="15" spans="1:9">
      <c r="A15" s="119" t="s">
        <v>48</v>
      </c>
      <c r="B15" s="144" t="s">
        <v>321</v>
      </c>
      <c r="C15" s="128">
        <f>F18*2/F16</f>
        <v>0.47451503056791883</v>
      </c>
      <c r="D15" s="129"/>
      <c r="E15" s="119" t="s">
        <v>49</v>
      </c>
      <c r="F15" s="118">
        <v>494917</v>
      </c>
      <c r="G15" s="123"/>
      <c r="H15" s="142" t="s">
        <v>50</v>
      </c>
      <c r="I15" s="118">
        <v>3083019</v>
      </c>
    </row>
    <row r="16" spans="1:9">
      <c r="A16" s="135" t="s">
        <v>51</v>
      </c>
      <c r="B16" s="144" t="s">
        <v>322</v>
      </c>
      <c r="C16" s="121">
        <f>(F15+I10*0.8)*2/F16</f>
        <v>4.0013858118362423E-2</v>
      </c>
      <c r="D16" s="122"/>
      <c r="E16" s="119" t="s">
        <v>52</v>
      </c>
      <c r="F16" s="118">
        <f>(F4+I22)/2</f>
        <v>32838513</v>
      </c>
      <c r="G16" s="123"/>
      <c r="H16" s="124" t="s">
        <v>53</v>
      </c>
      <c r="I16" s="118">
        <v>5541227</v>
      </c>
    </row>
    <row r="17" spans="1:9">
      <c r="A17" s="119" t="s">
        <v>54</v>
      </c>
      <c r="B17" s="144" t="s">
        <v>323</v>
      </c>
      <c r="C17" s="121">
        <f>F15*2/F17</f>
        <v>7.4614585896676827E-2</v>
      </c>
      <c r="D17" s="122"/>
      <c r="E17" s="119" t="s">
        <v>55</v>
      </c>
      <c r="F17" s="118">
        <f>(F5+I21)/2</f>
        <v>13265958.5</v>
      </c>
      <c r="G17" s="123"/>
      <c r="H17" s="145" t="s">
        <v>56</v>
      </c>
      <c r="I17" s="118">
        <v>6007143</v>
      </c>
    </row>
    <row r="18" spans="1:9">
      <c r="A18" s="119" t="s">
        <v>57</v>
      </c>
      <c r="B18" s="141" t="s">
        <v>84</v>
      </c>
      <c r="C18" s="121">
        <f>I9/I19</f>
        <v>0.41166917144504406</v>
      </c>
      <c r="D18" s="122"/>
      <c r="E18" s="119" t="s">
        <v>58</v>
      </c>
      <c r="F18" s="118">
        <v>7791184</v>
      </c>
      <c r="G18" s="123"/>
      <c r="H18" s="124" t="s">
        <v>59</v>
      </c>
      <c r="I18" s="118">
        <v>5730178</v>
      </c>
    </row>
    <row r="19" spans="1:9">
      <c r="A19" s="119" t="s">
        <v>60</v>
      </c>
      <c r="B19" s="141" t="s">
        <v>85</v>
      </c>
      <c r="C19" s="121">
        <f>I11/I19</f>
        <v>0.37553100899549141</v>
      </c>
      <c r="D19" s="122"/>
      <c r="E19" s="119" t="s">
        <v>61</v>
      </c>
      <c r="F19" s="118">
        <v>165816</v>
      </c>
      <c r="G19" s="123"/>
      <c r="H19" s="124" t="s">
        <v>62</v>
      </c>
      <c r="I19" s="118">
        <v>1658164</v>
      </c>
    </row>
    <row r="20" spans="1:9">
      <c r="A20" s="119" t="s">
        <v>63</v>
      </c>
      <c r="B20" s="146" t="s">
        <v>5</v>
      </c>
      <c r="C20" s="121">
        <f>F15/F18</f>
        <v>6.352269436840409E-2</v>
      </c>
      <c r="D20" s="122"/>
      <c r="E20" s="119" t="s">
        <v>64</v>
      </c>
      <c r="F20" s="118">
        <v>1580764</v>
      </c>
      <c r="G20" s="123"/>
      <c r="H20" s="124" t="s">
        <v>105</v>
      </c>
      <c r="I20" s="118">
        <v>15023650</v>
      </c>
    </row>
    <row r="21" spans="1:9">
      <c r="A21" s="135" t="s">
        <v>65</v>
      </c>
      <c r="B21" s="120" t="s">
        <v>6</v>
      </c>
      <c r="C21" s="128">
        <f>F8/F19</f>
        <v>3.0050357022241521</v>
      </c>
      <c r="D21" s="129"/>
      <c r="E21" s="119" t="s">
        <v>66</v>
      </c>
      <c r="F21" s="118">
        <f>SUM(F22:F26)</f>
        <v>14000127</v>
      </c>
      <c r="G21" s="123"/>
      <c r="H21" s="124" t="s">
        <v>106</v>
      </c>
      <c r="I21" s="118">
        <v>13194110</v>
      </c>
    </row>
    <row r="22" spans="1:9">
      <c r="A22" s="119" t="s">
        <v>67</v>
      </c>
      <c r="B22" s="144" t="s">
        <v>176</v>
      </c>
      <c r="C22" s="176">
        <f>F20*2/F10</f>
        <v>0.31626573849521666</v>
      </c>
      <c r="D22" s="122"/>
      <c r="E22" s="137" t="s">
        <v>287</v>
      </c>
      <c r="F22" s="118">
        <v>2887592</v>
      </c>
      <c r="G22" s="123"/>
      <c r="H22" s="124" t="s">
        <v>68</v>
      </c>
      <c r="I22" s="118">
        <v>32245602</v>
      </c>
    </row>
    <row r="23" spans="1:9">
      <c r="A23" s="119" t="s">
        <v>69</v>
      </c>
      <c r="B23" s="120" t="s">
        <v>7</v>
      </c>
      <c r="C23" s="121">
        <f>F21/F27</f>
        <v>1.7200437441708636</v>
      </c>
      <c r="D23" s="122"/>
      <c r="E23" s="137" t="s">
        <v>288</v>
      </c>
      <c r="F23" s="118">
        <v>2775443</v>
      </c>
      <c r="G23" s="123"/>
      <c r="H23" s="124" t="s">
        <v>110</v>
      </c>
      <c r="I23" s="118">
        <f>(F7+I20)/2</f>
        <v>15024374.5</v>
      </c>
    </row>
    <row r="24" spans="1:9">
      <c r="A24" s="119" t="s">
        <v>70</v>
      </c>
      <c r="B24" s="120" t="s">
        <v>86</v>
      </c>
      <c r="C24" s="121">
        <f>(F20-I24)/SUM(I3:I6)</f>
        <v>5.3189080687162854E-2</v>
      </c>
      <c r="D24" s="122"/>
      <c r="E24" s="137" t="s">
        <v>289</v>
      </c>
      <c r="F24" s="118">
        <v>2920859</v>
      </c>
      <c r="G24" s="123"/>
      <c r="H24" s="124" t="s">
        <v>71</v>
      </c>
      <c r="I24" s="118">
        <f>F42</f>
        <v>0</v>
      </c>
    </row>
    <row r="25" spans="1:9">
      <c r="A25" s="119" t="s">
        <v>296</v>
      </c>
      <c r="B25" s="120" t="s">
        <v>114</v>
      </c>
      <c r="C25" s="128">
        <f>(F18-I7)/I9</f>
        <v>3.0714399771467078</v>
      </c>
      <c r="D25" s="129"/>
      <c r="E25" s="137" t="s">
        <v>310</v>
      </c>
      <c r="F25" s="118">
        <v>3835469</v>
      </c>
      <c r="G25" s="123"/>
      <c r="H25" s="124" t="s">
        <v>73</v>
      </c>
      <c r="I25" s="118">
        <v>339966</v>
      </c>
    </row>
    <row r="26" spans="1:9">
      <c r="A26" s="119" t="s">
        <v>72</v>
      </c>
      <c r="B26" s="120" t="s">
        <v>8</v>
      </c>
      <c r="C26" s="128">
        <f>I9/(I9-I10)</f>
        <v>1.4220731062010692</v>
      </c>
      <c r="D26" s="129"/>
      <c r="E26" s="137" t="s">
        <v>315</v>
      </c>
      <c r="F26" s="118">
        <f>F20</f>
        <v>1580764</v>
      </c>
      <c r="G26" s="123"/>
      <c r="H26" s="124" t="s">
        <v>75</v>
      </c>
      <c r="I26" s="118">
        <v>0</v>
      </c>
    </row>
    <row r="27" spans="1:9">
      <c r="A27" s="119"/>
      <c r="B27" s="120"/>
      <c r="C27" s="147"/>
      <c r="D27" s="148"/>
      <c r="E27" s="135" t="s">
        <v>76</v>
      </c>
      <c r="F27" s="118">
        <f>SUM(F28:F42)</f>
        <v>8139401.7143143499</v>
      </c>
      <c r="G27" s="123"/>
      <c r="H27" s="124" t="s">
        <v>77</v>
      </c>
      <c r="I27" s="118">
        <v>1604376</v>
      </c>
    </row>
    <row r="28" spans="1:9">
      <c r="A28" s="119"/>
      <c r="B28" s="120"/>
      <c r="C28" s="147"/>
      <c r="D28" s="148"/>
      <c r="E28" s="137" t="s">
        <v>311</v>
      </c>
      <c r="F28" s="118">
        <v>544554</v>
      </c>
      <c r="G28" s="150"/>
      <c r="H28" s="124" t="s">
        <v>78</v>
      </c>
      <c r="I28" s="118">
        <v>1122491</v>
      </c>
    </row>
    <row r="29" spans="1:9">
      <c r="A29" s="119"/>
      <c r="B29" s="120"/>
      <c r="C29" s="147"/>
      <c r="D29" s="148"/>
      <c r="E29" s="137" t="s">
        <v>288</v>
      </c>
      <c r="F29" s="118">
        <v>1007640</v>
      </c>
      <c r="G29" s="123"/>
      <c r="H29" s="124" t="s">
        <v>79</v>
      </c>
      <c r="I29" s="118">
        <v>1447060</v>
      </c>
    </row>
    <row r="30" spans="1:9">
      <c r="A30" s="119"/>
      <c r="B30" s="120"/>
      <c r="C30" s="147"/>
      <c r="D30" s="148"/>
      <c r="E30" s="137" t="s">
        <v>289</v>
      </c>
      <c r="F30" s="118">
        <v>1054958</v>
      </c>
      <c r="G30" s="123"/>
      <c r="H30" s="124" t="s">
        <v>80</v>
      </c>
      <c r="I30" s="118">
        <v>1097041</v>
      </c>
    </row>
    <row r="31" spans="1:9">
      <c r="A31" s="285" t="s">
        <v>9</v>
      </c>
      <c r="B31" s="286"/>
      <c r="C31" s="287"/>
      <c r="D31" s="151"/>
      <c r="E31" s="137" t="s">
        <v>309</v>
      </c>
      <c r="F31" s="118">
        <v>882058</v>
      </c>
      <c r="G31" s="123"/>
      <c r="H31" s="145"/>
      <c r="I31" s="152"/>
    </row>
    <row r="32" spans="1:9">
      <c r="A32" s="153" t="s">
        <v>10</v>
      </c>
      <c r="B32" s="141"/>
      <c r="C32" s="154"/>
      <c r="D32" s="122"/>
      <c r="E32" s="137" t="s">
        <v>316</v>
      </c>
      <c r="F32" s="118">
        <f>I25+I26</f>
        <v>339966</v>
      </c>
      <c r="G32" s="150"/>
      <c r="H32" s="145"/>
      <c r="I32" s="152"/>
    </row>
    <row r="33" spans="1:9">
      <c r="A33" s="155" t="s">
        <v>11</v>
      </c>
      <c r="B33" s="156"/>
      <c r="C33" s="154"/>
      <c r="D33" s="122"/>
      <c r="E33" s="137" t="s">
        <v>312</v>
      </c>
      <c r="F33" s="118">
        <v>692977</v>
      </c>
      <c r="G33" s="123"/>
      <c r="H33" s="145"/>
      <c r="I33" s="152"/>
    </row>
    <row r="34" spans="1:9">
      <c r="A34" s="157" t="s">
        <v>12</v>
      </c>
      <c r="B34" s="156"/>
      <c r="C34" s="154"/>
      <c r="D34" s="122"/>
      <c r="E34" s="137" t="s">
        <v>288</v>
      </c>
      <c r="F34" s="118">
        <v>109336</v>
      </c>
      <c r="G34" s="123"/>
      <c r="H34" s="145"/>
      <c r="I34" s="158"/>
    </row>
    <row r="35" spans="1:9">
      <c r="A35" s="159" t="s">
        <v>13</v>
      </c>
      <c r="B35" s="141"/>
      <c r="C35" s="154"/>
      <c r="D35" s="122"/>
      <c r="E35" s="137" t="s">
        <v>289</v>
      </c>
      <c r="F35" s="118">
        <v>621563</v>
      </c>
      <c r="G35" s="123"/>
      <c r="H35" s="145"/>
      <c r="I35" s="158"/>
    </row>
    <row r="36" spans="1:9">
      <c r="A36" s="119"/>
      <c r="B36" s="141"/>
      <c r="C36" s="154"/>
      <c r="D36" s="122"/>
      <c r="E36" s="137" t="s">
        <v>309</v>
      </c>
      <c r="F36" s="118">
        <v>354469</v>
      </c>
      <c r="G36" s="123"/>
      <c r="H36" s="145" t="s">
        <v>81</v>
      </c>
      <c r="I36" s="149">
        <f>SUM(I32:I35)</f>
        <v>0</v>
      </c>
    </row>
    <row r="37" spans="1:9">
      <c r="A37" s="119"/>
      <c r="B37" s="141"/>
      <c r="C37" s="154"/>
      <c r="D37" s="122"/>
      <c r="E37" s="137" t="s">
        <v>317</v>
      </c>
      <c r="F37" s="118">
        <v>459175.71431434999</v>
      </c>
      <c r="G37" s="123"/>
      <c r="H37" s="124"/>
      <c r="I37" s="158"/>
    </row>
    <row r="38" spans="1:9">
      <c r="A38" s="119"/>
      <c r="B38" s="141"/>
      <c r="C38" s="154"/>
      <c r="D38" s="122"/>
      <c r="E38" s="137" t="s">
        <v>313</v>
      </c>
      <c r="F38" s="118">
        <v>746174</v>
      </c>
      <c r="G38" s="161"/>
      <c r="H38" s="124" t="s">
        <v>82</v>
      </c>
      <c r="I38" s="149">
        <v>138439</v>
      </c>
    </row>
    <row r="39" spans="1:9">
      <c r="A39" s="119"/>
      <c r="B39" s="141"/>
      <c r="C39" s="154"/>
      <c r="D39" s="122"/>
      <c r="E39" s="137" t="s">
        <v>288</v>
      </c>
      <c r="F39" s="118">
        <v>414541</v>
      </c>
      <c r="G39" s="150"/>
      <c r="H39" s="124" t="s">
        <v>120</v>
      </c>
      <c r="I39" s="149">
        <v>1392109</v>
      </c>
    </row>
    <row r="40" spans="1:9">
      <c r="A40" s="119"/>
      <c r="B40" s="141"/>
      <c r="C40" s="154"/>
      <c r="D40" s="122"/>
      <c r="E40" s="137" t="s">
        <v>289</v>
      </c>
      <c r="F40" s="118">
        <v>497449</v>
      </c>
      <c r="G40" s="150"/>
      <c r="H40" s="124" t="s">
        <v>17</v>
      </c>
      <c r="I40" s="149">
        <v>21887</v>
      </c>
    </row>
    <row r="41" spans="1:9">
      <c r="A41" s="119"/>
      <c r="B41" s="141"/>
      <c r="C41" s="154"/>
      <c r="D41" s="122"/>
      <c r="E41" s="137" t="s">
        <v>309</v>
      </c>
      <c r="F41" s="118">
        <v>414541</v>
      </c>
      <c r="G41" s="162"/>
      <c r="H41" s="163"/>
      <c r="I41" s="164"/>
    </row>
    <row r="42" spans="1:9">
      <c r="A42" s="165"/>
      <c r="B42" s="166"/>
      <c r="C42" s="167"/>
      <c r="D42" s="168"/>
      <c r="E42" s="166" t="s">
        <v>318</v>
      </c>
      <c r="F42" s="175">
        <v>0</v>
      </c>
      <c r="G42" s="169"/>
    </row>
    <row r="43" spans="1:9">
      <c r="F43" s="106"/>
      <c r="G43" s="106"/>
      <c r="H43" s="104" t="s">
        <v>115</v>
      </c>
    </row>
    <row r="44" spans="1:9">
      <c r="E44" s="170"/>
      <c r="F44" s="106"/>
      <c r="G44" s="106"/>
      <c r="H44" s="104" t="s">
        <v>116</v>
      </c>
      <c r="I44" s="171">
        <f>I18</f>
        <v>5730178</v>
      </c>
    </row>
    <row r="45" spans="1:9">
      <c r="E45" s="170"/>
      <c r="F45" s="106"/>
      <c r="G45" s="106"/>
      <c r="H45" s="104" t="s">
        <v>117</v>
      </c>
      <c r="I45" s="171">
        <v>1378391</v>
      </c>
    </row>
    <row r="46" spans="1:9">
      <c r="E46" s="170"/>
      <c r="F46" s="106"/>
      <c r="G46" s="106"/>
      <c r="H46" s="104" t="s">
        <v>118</v>
      </c>
      <c r="I46" s="171">
        <f>I39+I40</f>
        <v>1413996</v>
      </c>
    </row>
    <row r="47" spans="1:9" ht="14.25" thickBot="1">
      <c r="E47" s="170"/>
      <c r="F47" s="106"/>
      <c r="G47" s="106"/>
      <c r="H47" s="104" t="s">
        <v>119</v>
      </c>
      <c r="I47" s="172">
        <f>I44+I45-I46</f>
        <v>5694573</v>
      </c>
    </row>
    <row r="48" spans="1:9" ht="14.25" thickTop="1">
      <c r="E48" s="170"/>
      <c r="F48" s="106"/>
      <c r="G48" s="106"/>
    </row>
    <row r="59" spans="2:2">
      <c r="B59" s="173"/>
    </row>
    <row r="60" spans="2:2">
      <c r="B60" s="174"/>
    </row>
    <row r="61" spans="2:2">
      <c r="B61" s="173"/>
    </row>
  </sheetData>
  <autoFilter ref="H43:I47"/>
  <mergeCells count="1">
    <mergeCell ref="A31:C31"/>
  </mergeCells>
  <phoneticPr fontId="3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2" orientation="portrait" r:id="rId1"/>
  <headerFooter alignWithMargins="0">
    <oddHeader>&amp;L
帝寶101Q2財務比率(合併)&amp;RPreparer: DY 2012/8/17
Reviewer: KAY 2012/8/20 CH 2012/8/20 AMMY 2012/8/20
2320-2: &amp;P/&amp;N</oddHeader>
    <oddFooter>&amp;L帝寶工業股份有限公司 
Period End: 2012/6/30</oddFooter>
  </headerFooter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1"/>
  <sheetViews>
    <sheetView zoomScale="120" zoomScaleNormal="120" zoomScaleSheetLayoutView="100" workbookViewId="0">
      <pane ySplit="2" topLeftCell="A30" activePane="bottomLeft" state="frozen"/>
      <selection activeCell="A30" sqref="A30"/>
      <selection pane="bottomLeft" activeCell="F40" sqref="F40:F42"/>
    </sheetView>
  </sheetViews>
  <sheetFormatPr defaultColWidth="31.28515625" defaultRowHeight="14.25"/>
  <cols>
    <col min="1" max="1" width="34" style="3" customWidth="1"/>
    <col min="2" max="2" width="23.140625" style="1" bestFit="1" customWidth="1"/>
    <col min="3" max="3" width="8.7109375" style="2" bestFit="1" customWidth="1"/>
    <col min="4" max="4" width="2.5703125" style="2" customWidth="1"/>
    <col min="5" max="5" width="32.28515625" style="3" customWidth="1"/>
    <col min="6" max="6" width="13" style="4" bestFit="1" customWidth="1"/>
    <col min="7" max="7" width="1" style="4" customWidth="1"/>
    <col min="8" max="8" width="36.85546875" style="3" customWidth="1"/>
    <col min="9" max="9" width="13" style="5" bestFit="1" customWidth="1"/>
    <col min="10" max="10" width="31.28515625" style="6"/>
    <col min="11" max="12" width="8.7109375" style="2" bestFit="1" customWidth="1"/>
    <col min="13" max="16384" width="31.28515625" style="3"/>
  </cols>
  <sheetData>
    <row r="1" spans="1:12">
      <c r="A1" s="1" t="s">
        <v>21</v>
      </c>
    </row>
    <row r="2" spans="1:12">
      <c r="A2" s="7" t="s">
        <v>286</v>
      </c>
      <c r="I2" s="8" t="s">
        <v>0</v>
      </c>
    </row>
    <row r="3" spans="1:12">
      <c r="A3" s="9" t="s">
        <v>22</v>
      </c>
      <c r="B3" s="10" t="s">
        <v>1</v>
      </c>
      <c r="C3" s="11">
        <f>F3/F4</f>
        <v>0.56078326596333572</v>
      </c>
      <c r="D3" s="12"/>
      <c r="E3" s="13" t="s">
        <v>23</v>
      </c>
      <c r="F3" s="96">
        <v>15567556</v>
      </c>
      <c r="G3" s="14"/>
      <c r="H3" s="15" t="s">
        <v>24</v>
      </c>
      <c r="I3" s="95">
        <v>18631355</v>
      </c>
      <c r="K3" s="11">
        <v>0.59016196378942232</v>
      </c>
      <c r="L3" s="11">
        <f>C3-K3</f>
        <v>-2.9378697826086597E-2</v>
      </c>
    </row>
    <row r="4" spans="1:12">
      <c r="A4" s="16" t="s">
        <v>102</v>
      </c>
      <c r="B4" s="17" t="s">
        <v>100</v>
      </c>
      <c r="C4" s="18">
        <f>SUM(F5:F6)/F7</f>
        <v>1.6447938434397451</v>
      </c>
      <c r="D4" s="19"/>
      <c r="E4" s="16" t="s">
        <v>25</v>
      </c>
      <c r="F4" s="95">
        <v>27760379</v>
      </c>
      <c r="G4" s="21"/>
      <c r="H4" s="22" t="s">
        <v>26</v>
      </c>
      <c r="I4" s="95">
        <v>0</v>
      </c>
      <c r="K4" s="18">
        <v>1.2489724628634415</v>
      </c>
      <c r="L4" s="18">
        <f t="shared" ref="L4:L24" si="0">C4-K4</f>
        <v>0.39582138057630356</v>
      </c>
    </row>
    <row r="5" spans="1:12">
      <c r="A5" s="23" t="s">
        <v>27</v>
      </c>
      <c r="B5" s="24" t="s">
        <v>2</v>
      </c>
      <c r="C5" s="25">
        <f>F9/F10</f>
        <v>1.3028301202651371</v>
      </c>
      <c r="D5" s="19"/>
      <c r="E5" s="16" t="s">
        <v>104</v>
      </c>
      <c r="F5" s="95">
        <v>12192823</v>
      </c>
      <c r="G5" s="21"/>
      <c r="H5" s="22" t="s">
        <v>112</v>
      </c>
      <c r="I5" s="95">
        <f>17232670-11964863-45866-433538</f>
        <v>4788403</v>
      </c>
      <c r="K5" s="25">
        <v>1.2765880098049001</v>
      </c>
      <c r="L5" s="25">
        <f t="shared" si="0"/>
        <v>2.6242110460237056E-2</v>
      </c>
    </row>
    <row r="6" spans="1:12">
      <c r="A6" s="16" t="s">
        <v>28</v>
      </c>
      <c r="B6" s="17" t="s">
        <v>14</v>
      </c>
      <c r="C6" s="18">
        <f>(F9-F11-I38)/F10</f>
        <v>0.78892108378463799</v>
      </c>
      <c r="D6" s="19"/>
      <c r="E6" s="16" t="s">
        <v>101</v>
      </c>
      <c r="F6" s="95">
        <v>7486910</v>
      </c>
      <c r="G6" s="21"/>
      <c r="H6" s="22" t="s">
        <v>29</v>
      </c>
      <c r="I6" s="95">
        <f>F9-F10</f>
        <v>2447063</v>
      </c>
      <c r="K6" s="18">
        <v>0.7876312098969267</v>
      </c>
      <c r="L6" s="18">
        <f t="shared" si="0"/>
        <v>1.2898738877112903E-3</v>
      </c>
    </row>
    <row r="7" spans="1:12">
      <c r="A7" s="16" t="s">
        <v>30</v>
      </c>
      <c r="B7" s="17" t="s">
        <v>3</v>
      </c>
      <c r="C7" s="26">
        <f>F13/F14</f>
        <v>8.7047072989473477</v>
      </c>
      <c r="D7" s="27"/>
      <c r="E7" s="16" t="s">
        <v>109</v>
      </c>
      <c r="F7" s="95">
        <v>11964863</v>
      </c>
      <c r="G7" s="21"/>
      <c r="H7" s="22" t="s">
        <v>31</v>
      </c>
      <c r="I7" s="95">
        <f>I47</f>
        <v>11662574</v>
      </c>
      <c r="K7" s="26">
        <v>-5.2465996179604613</v>
      </c>
      <c r="L7" s="26">
        <f t="shared" si="0"/>
        <v>13.951306916907809</v>
      </c>
    </row>
    <row r="8" spans="1:12">
      <c r="A8" s="23" t="s">
        <v>32</v>
      </c>
      <c r="B8" s="24" t="s">
        <v>18</v>
      </c>
      <c r="C8" s="29">
        <f>(F13+I39+I40)/F14</f>
        <v>19.482944978034485</v>
      </c>
      <c r="D8" s="27"/>
      <c r="E8" s="16" t="s">
        <v>121</v>
      </c>
      <c r="F8" s="95">
        <v>1191823</v>
      </c>
      <c r="G8" s="21"/>
      <c r="H8" s="22"/>
      <c r="I8" s="28"/>
      <c r="K8" s="29">
        <v>15.433143080711606</v>
      </c>
      <c r="L8" s="29">
        <f t="shared" si="0"/>
        <v>4.0498018973228795</v>
      </c>
    </row>
    <row r="9" spans="1:12">
      <c r="A9" s="16" t="s">
        <v>33</v>
      </c>
      <c r="B9" s="30" t="s">
        <v>149</v>
      </c>
      <c r="C9" s="31">
        <f>F18/(SUM(I12:I15)/2)</f>
        <v>4.6120968317988424</v>
      </c>
      <c r="D9" s="32"/>
      <c r="E9" s="16" t="s">
        <v>34</v>
      </c>
      <c r="F9" s="95">
        <v>10527709</v>
      </c>
      <c r="G9" s="21"/>
      <c r="H9" s="22" t="s">
        <v>35</v>
      </c>
      <c r="I9" s="95">
        <v>1832675</v>
      </c>
      <c r="K9" s="31">
        <v>4.6767890640311336</v>
      </c>
      <c r="L9" s="31">
        <f>C9-K9</f>
        <v>-6.4692232232291147E-2</v>
      </c>
    </row>
    <row r="10" spans="1:12">
      <c r="A10" s="33" t="s">
        <v>36</v>
      </c>
      <c r="B10" s="17" t="s">
        <v>129</v>
      </c>
      <c r="C10" s="26">
        <f>365/C9</f>
        <v>79.139708751006452</v>
      </c>
      <c r="D10" s="34"/>
      <c r="E10" s="35" t="s">
        <v>37</v>
      </c>
      <c r="F10" s="95">
        <v>8080646</v>
      </c>
      <c r="G10" s="21"/>
      <c r="H10" s="22" t="s">
        <v>38</v>
      </c>
      <c r="I10" s="95">
        <f>F14</f>
        <v>212606</v>
      </c>
      <c r="K10" s="26">
        <v>78.044999464951317</v>
      </c>
      <c r="L10" s="26">
        <f t="shared" si="0"/>
        <v>1.0947092860551351</v>
      </c>
    </row>
    <row r="11" spans="1:12">
      <c r="A11" s="33" t="s">
        <v>39</v>
      </c>
      <c r="B11" s="30" t="s">
        <v>142</v>
      </c>
      <c r="C11" s="26">
        <f>I18/(SUM(I16+I17)/2)</f>
        <v>2.5141020127291434</v>
      </c>
      <c r="D11" s="27"/>
      <c r="E11" s="16" t="s">
        <v>40</v>
      </c>
      <c r="F11" s="95">
        <v>4076862</v>
      </c>
      <c r="G11" s="21"/>
      <c r="H11" s="22" t="s">
        <v>41</v>
      </c>
      <c r="I11" s="95">
        <f>F13-F14</f>
        <v>1638067</v>
      </c>
      <c r="K11" s="26">
        <v>2.9937714403313924</v>
      </c>
      <c r="L11" s="26">
        <f t="shared" si="0"/>
        <v>-0.47966942760224907</v>
      </c>
    </row>
    <row r="12" spans="1:12">
      <c r="A12" s="16" t="s">
        <v>42</v>
      </c>
      <c r="B12" s="36" t="s">
        <v>143</v>
      </c>
      <c r="C12" s="37">
        <f>I18/(SUM(I27:I30)/2)</f>
        <v>4.7311283290357373</v>
      </c>
      <c r="D12" s="38"/>
      <c r="E12" s="16" t="s">
        <v>88</v>
      </c>
      <c r="F12" s="95">
        <v>524905</v>
      </c>
      <c r="G12" s="21"/>
      <c r="H12" s="22" t="s">
        <v>43</v>
      </c>
      <c r="I12" s="95">
        <v>183711</v>
      </c>
      <c r="K12" s="37">
        <v>5.7242227594407815</v>
      </c>
      <c r="L12" s="37">
        <f t="shared" si="0"/>
        <v>-0.99309443040504419</v>
      </c>
    </row>
    <row r="13" spans="1:12">
      <c r="A13" s="16" t="s">
        <v>44</v>
      </c>
      <c r="B13" s="30" t="s">
        <v>4</v>
      </c>
      <c r="C13" s="26">
        <f>365/C11</f>
        <v>145.18106192667182</v>
      </c>
      <c r="D13" s="34"/>
      <c r="E13" s="33" t="s">
        <v>87</v>
      </c>
      <c r="F13" s="95">
        <v>1850673</v>
      </c>
      <c r="G13" s="21"/>
      <c r="H13" s="39" t="s">
        <v>45</v>
      </c>
      <c r="I13" s="95">
        <v>3217151</v>
      </c>
      <c r="K13" s="26">
        <v>121.91979490578503</v>
      </c>
      <c r="L13" s="26">
        <f t="shared" si="0"/>
        <v>23.261267020886791</v>
      </c>
    </row>
    <row r="14" spans="1:12">
      <c r="A14" s="16" t="s">
        <v>103</v>
      </c>
      <c r="B14" s="40" t="s">
        <v>144</v>
      </c>
      <c r="C14" s="26">
        <f>F18/I23</f>
        <v>1.3423077771715797</v>
      </c>
      <c r="D14" s="27"/>
      <c r="E14" s="33" t="s">
        <v>46</v>
      </c>
      <c r="F14" s="95">
        <v>212606</v>
      </c>
      <c r="G14" s="21"/>
      <c r="H14" s="39" t="s">
        <v>47</v>
      </c>
      <c r="I14" s="95">
        <v>385875</v>
      </c>
      <c r="K14" s="26">
        <v>1.2150060780898926</v>
      </c>
      <c r="L14" s="26">
        <f t="shared" si="0"/>
        <v>0.12730169908168709</v>
      </c>
    </row>
    <row r="15" spans="1:12">
      <c r="A15" s="16" t="s">
        <v>48</v>
      </c>
      <c r="B15" s="17" t="s">
        <v>145</v>
      </c>
      <c r="C15" s="26">
        <f>F18/F16</f>
        <v>0.58365806501130657</v>
      </c>
      <c r="D15" s="27"/>
      <c r="E15" s="16" t="s">
        <v>49</v>
      </c>
      <c r="F15" s="95">
        <v>1186898</v>
      </c>
      <c r="G15" s="21"/>
      <c r="H15" s="39" t="s">
        <v>50</v>
      </c>
      <c r="I15" s="95">
        <v>3059072</v>
      </c>
      <c r="K15" s="26">
        <v>0.65745562973445326</v>
      </c>
      <c r="L15" s="26">
        <f t="shared" si="0"/>
        <v>-7.3797564723146691E-2</v>
      </c>
    </row>
    <row r="16" spans="1:12">
      <c r="A16" s="33" t="s">
        <v>51</v>
      </c>
      <c r="B16" s="17" t="s">
        <v>146</v>
      </c>
      <c r="C16" s="18">
        <f>(F15+I10*0.83)/F16</f>
        <v>5.0405293971762466E-2</v>
      </c>
      <c r="D16" s="19"/>
      <c r="E16" s="16" t="s">
        <v>52</v>
      </c>
      <c r="F16" s="95">
        <f>(F4+I22)/2</f>
        <v>27047972</v>
      </c>
      <c r="G16" s="21"/>
      <c r="H16" s="22" t="s">
        <v>53</v>
      </c>
      <c r="I16" s="95">
        <v>4513052</v>
      </c>
      <c r="K16" s="18">
        <v>-1.8047453480236827E-2</v>
      </c>
      <c r="L16" s="18">
        <f t="shared" si="0"/>
        <v>6.8452747451999293E-2</v>
      </c>
    </row>
    <row r="17" spans="1:12">
      <c r="A17" s="16" t="s">
        <v>54</v>
      </c>
      <c r="B17" s="17" t="s">
        <v>147</v>
      </c>
      <c r="C17" s="18">
        <f>F15/F17</f>
        <v>0.10087135010015337</v>
      </c>
      <c r="D17" s="19"/>
      <c r="E17" s="16" t="s">
        <v>55</v>
      </c>
      <c r="F17" s="95">
        <f>(F5+I21)/2</f>
        <v>11766453</v>
      </c>
      <c r="G17" s="21"/>
      <c r="H17" s="41" t="s">
        <v>56</v>
      </c>
      <c r="I17" s="95">
        <v>4597066</v>
      </c>
      <c r="K17" s="18">
        <v>-4.9121452930691832E-2</v>
      </c>
      <c r="L17" s="18">
        <f t="shared" si="0"/>
        <v>0.1499928030308452</v>
      </c>
    </row>
    <row r="18" spans="1:12">
      <c r="A18" s="16" t="s">
        <v>57</v>
      </c>
      <c r="B18" s="30" t="s">
        <v>84</v>
      </c>
      <c r="C18" s="18">
        <f>I9/I19</f>
        <v>1.1052435102921061</v>
      </c>
      <c r="D18" s="19"/>
      <c r="E18" s="16" t="s">
        <v>58</v>
      </c>
      <c r="F18" s="95">
        <v>15786767</v>
      </c>
      <c r="G18" s="21"/>
      <c r="H18" s="22" t="s">
        <v>59</v>
      </c>
      <c r="I18" s="95">
        <v>11451883</v>
      </c>
      <c r="K18" s="18">
        <v>0.82572712952397953</v>
      </c>
      <c r="L18" s="18">
        <f t="shared" si="0"/>
        <v>0.27951638076812657</v>
      </c>
    </row>
    <row r="19" spans="1:12">
      <c r="A19" s="16" t="s">
        <v>60</v>
      </c>
      <c r="B19" s="30" t="s">
        <v>85</v>
      </c>
      <c r="C19" s="18">
        <f>I11/I19</f>
        <v>0.98787996844702941</v>
      </c>
      <c r="D19" s="19"/>
      <c r="E19" s="16" t="s">
        <v>61</v>
      </c>
      <c r="F19" s="95">
        <v>165816</v>
      </c>
      <c r="G19" s="21"/>
      <c r="H19" s="22" t="s">
        <v>62</v>
      </c>
      <c r="I19" s="95">
        <v>1658164</v>
      </c>
      <c r="K19" s="18">
        <v>-0.32737533802446561</v>
      </c>
      <c r="L19" s="18">
        <f t="shared" si="0"/>
        <v>1.3152553064714949</v>
      </c>
    </row>
    <row r="20" spans="1:12">
      <c r="A20" s="16" t="s">
        <v>63</v>
      </c>
      <c r="B20" s="40" t="s">
        <v>5</v>
      </c>
      <c r="C20" s="18">
        <f>F15/F18</f>
        <v>7.5183094803388181E-2</v>
      </c>
      <c r="D20" s="19"/>
      <c r="E20" s="16" t="s">
        <v>64</v>
      </c>
      <c r="F20" s="95">
        <v>2775443</v>
      </c>
      <c r="G20" s="21"/>
      <c r="H20" s="22" t="s">
        <v>105</v>
      </c>
      <c r="I20" s="95">
        <v>11556966</v>
      </c>
      <c r="K20" s="18">
        <v>-3.2480406700189729E-2</v>
      </c>
      <c r="L20" s="18">
        <f t="shared" si="0"/>
        <v>0.10766350150357791</v>
      </c>
    </row>
    <row r="21" spans="1:12">
      <c r="A21" s="33" t="s">
        <v>65</v>
      </c>
      <c r="B21" s="17" t="s">
        <v>6</v>
      </c>
      <c r="C21" s="26">
        <f>F8/F19</f>
        <v>7.1876236310126886</v>
      </c>
      <c r="D21" s="27"/>
      <c r="E21" s="16" t="s">
        <v>66</v>
      </c>
      <c r="F21" s="95">
        <f>SUM(F22:F26)</f>
        <v>14831762</v>
      </c>
      <c r="G21" s="21"/>
      <c r="H21" s="22" t="s">
        <v>106</v>
      </c>
      <c r="I21" s="95">
        <v>11340083</v>
      </c>
      <c r="K21" s="26">
        <v>-2.3558643315482222</v>
      </c>
      <c r="L21" s="26">
        <f t="shared" si="0"/>
        <v>9.5434879625609099</v>
      </c>
    </row>
    <row r="22" spans="1:12">
      <c r="A22" s="16" t="s">
        <v>67</v>
      </c>
      <c r="B22" s="17" t="s">
        <v>148</v>
      </c>
      <c r="C22" s="18">
        <f>F20/F10</f>
        <v>0.34346796035861488</v>
      </c>
      <c r="D22" s="19"/>
      <c r="E22" s="35" t="s">
        <v>271</v>
      </c>
      <c r="F22" s="95">
        <v>2890162</v>
      </c>
      <c r="G22" s="21"/>
      <c r="H22" s="22" t="s">
        <v>68</v>
      </c>
      <c r="I22" s="95">
        <v>26335565</v>
      </c>
      <c r="K22" s="18">
        <v>0.28989685908247381</v>
      </c>
      <c r="L22" s="18">
        <f t="shared" si="0"/>
        <v>5.3571101276141064E-2</v>
      </c>
    </row>
    <row r="23" spans="1:12">
      <c r="A23" s="16" t="s">
        <v>69</v>
      </c>
      <c r="B23" s="17" t="s">
        <v>7</v>
      </c>
      <c r="C23" s="18">
        <f>F21/F27</f>
        <v>1.6276162359080597</v>
      </c>
      <c r="D23" s="19"/>
      <c r="E23" s="35" t="s">
        <v>272</v>
      </c>
      <c r="F23" s="95">
        <v>2690353</v>
      </c>
      <c r="G23" s="21"/>
      <c r="H23" s="22" t="s">
        <v>110</v>
      </c>
      <c r="I23" s="95">
        <f>(F7+I20)/2</f>
        <v>11760914.5</v>
      </c>
      <c r="K23" s="18">
        <v>0.64955719071380458</v>
      </c>
      <c r="L23" s="18">
        <f t="shared" si="0"/>
        <v>0.97805904519425513</v>
      </c>
    </row>
    <row r="24" spans="1:12">
      <c r="A24" s="16" t="s">
        <v>70</v>
      </c>
      <c r="B24" s="17" t="s">
        <v>86</v>
      </c>
      <c r="C24" s="18">
        <f>(F20-I24)/SUM(I3:I6)</f>
        <v>9.1271439965506393E-2</v>
      </c>
      <c r="D24" s="19"/>
      <c r="E24" s="35" t="s">
        <v>273</v>
      </c>
      <c r="F24" s="95">
        <v>3588212</v>
      </c>
      <c r="G24" s="21"/>
      <c r="H24" s="22" t="s">
        <v>71</v>
      </c>
      <c r="I24" s="95">
        <f>F42</f>
        <v>414541</v>
      </c>
      <c r="K24" s="18">
        <v>4.762271561960784E-2</v>
      </c>
      <c r="L24" s="18">
        <f t="shared" si="0"/>
        <v>4.3648724345898553E-2</v>
      </c>
    </row>
    <row r="25" spans="1:12">
      <c r="A25" s="72" t="s">
        <v>113</v>
      </c>
      <c r="B25" s="73" t="s">
        <v>114</v>
      </c>
      <c r="C25" s="26">
        <f>(F18-I7)/I9</f>
        <v>2.2503679048385559</v>
      </c>
      <c r="D25" s="27"/>
      <c r="E25" s="35" t="s">
        <v>274</v>
      </c>
      <c r="F25" s="95">
        <v>2887592</v>
      </c>
      <c r="G25" s="21"/>
      <c r="H25" s="22" t="s">
        <v>73</v>
      </c>
      <c r="I25" s="95">
        <v>1007640</v>
      </c>
      <c r="K25" s="26">
        <v>1.0677709939023106</v>
      </c>
      <c r="L25" s="26">
        <f>C26-K25</f>
        <v>6.3461688162465668E-2</v>
      </c>
    </row>
    <row r="26" spans="1:12">
      <c r="A26" s="16" t="s">
        <v>72</v>
      </c>
      <c r="B26" s="17" t="s">
        <v>8</v>
      </c>
      <c r="C26" s="26">
        <f>I9/(I9-I10)</f>
        <v>1.1312326820647762</v>
      </c>
      <c r="D26" s="27"/>
      <c r="E26" s="35" t="s">
        <v>275</v>
      </c>
      <c r="F26" s="95">
        <f>F20</f>
        <v>2775443</v>
      </c>
      <c r="G26" s="21"/>
      <c r="H26" s="22" t="s">
        <v>75</v>
      </c>
      <c r="I26" s="95">
        <v>0</v>
      </c>
      <c r="K26" s="42"/>
      <c r="L26" s="42"/>
    </row>
    <row r="27" spans="1:12">
      <c r="A27" s="16"/>
      <c r="B27" s="17"/>
      <c r="C27" s="43"/>
      <c r="D27" s="44"/>
      <c r="E27" s="33" t="s">
        <v>76</v>
      </c>
      <c r="F27" s="95">
        <f>SUM(F28:F42)</f>
        <v>9112567</v>
      </c>
      <c r="G27" s="21"/>
      <c r="H27" s="22" t="s">
        <v>77</v>
      </c>
      <c r="I27" s="95">
        <v>1217338</v>
      </c>
      <c r="K27" s="43"/>
      <c r="L27" s="43"/>
    </row>
    <row r="28" spans="1:12">
      <c r="A28" s="16"/>
      <c r="B28" s="17"/>
      <c r="C28" s="43"/>
      <c r="D28" s="44"/>
      <c r="E28" s="35" t="s">
        <v>276</v>
      </c>
      <c r="F28" s="97">
        <v>805317</v>
      </c>
      <c r="G28" s="45"/>
      <c r="H28" s="22" t="s">
        <v>78</v>
      </c>
      <c r="I28" s="95">
        <v>1139027</v>
      </c>
      <c r="K28" s="43"/>
      <c r="L28" s="43"/>
    </row>
    <row r="29" spans="1:12">
      <c r="A29" s="16"/>
      <c r="B29" s="17"/>
      <c r="C29" s="43"/>
      <c r="D29" s="44"/>
      <c r="E29" s="35" t="s">
        <v>277</v>
      </c>
      <c r="F29" s="97">
        <v>1925667</v>
      </c>
      <c r="G29" s="21"/>
      <c r="H29" s="22" t="s">
        <v>79</v>
      </c>
      <c r="I29" s="95">
        <v>1249703</v>
      </c>
      <c r="K29" s="43"/>
      <c r="L29" s="43"/>
    </row>
    <row r="30" spans="1:12">
      <c r="A30" s="16"/>
      <c r="B30" s="17"/>
      <c r="C30" s="43"/>
      <c r="D30" s="44"/>
      <c r="E30" s="35" t="s">
        <v>278</v>
      </c>
      <c r="F30" s="97">
        <v>702419</v>
      </c>
      <c r="G30" s="21"/>
      <c r="H30" s="22" t="s">
        <v>80</v>
      </c>
      <c r="I30" s="95">
        <v>1235011</v>
      </c>
      <c r="K30" s="43"/>
      <c r="L30" s="43"/>
    </row>
    <row r="31" spans="1:12" ht="15.75">
      <c r="A31" s="291" t="s">
        <v>9</v>
      </c>
      <c r="B31" s="292"/>
      <c r="C31" s="293"/>
      <c r="D31" s="46"/>
      <c r="E31" s="35" t="s">
        <v>279</v>
      </c>
      <c r="F31" s="97">
        <v>544554</v>
      </c>
      <c r="G31" s="21"/>
      <c r="H31" s="74"/>
      <c r="I31" s="75"/>
      <c r="K31" s="66"/>
      <c r="L31" s="66"/>
    </row>
    <row r="32" spans="1:12">
      <c r="A32" s="48" t="s">
        <v>10</v>
      </c>
      <c r="B32" s="30"/>
      <c r="C32" s="49"/>
      <c r="D32" s="19"/>
      <c r="E32" s="35" t="s">
        <v>280</v>
      </c>
      <c r="F32" s="97">
        <f>I25+I26</f>
        <v>1007640</v>
      </c>
      <c r="G32" s="45"/>
      <c r="H32" s="74"/>
      <c r="I32" s="75"/>
      <c r="K32" s="49"/>
      <c r="L32" s="49"/>
    </row>
    <row r="33" spans="1:12">
      <c r="A33" s="50" t="s">
        <v>11</v>
      </c>
      <c r="B33" s="51"/>
      <c r="C33" s="49"/>
      <c r="D33" s="19"/>
      <c r="E33" s="35" t="s">
        <v>281</v>
      </c>
      <c r="F33" s="95">
        <v>99630</v>
      </c>
      <c r="G33" s="21"/>
      <c r="H33" s="74"/>
      <c r="I33" s="75"/>
      <c r="K33" s="49"/>
      <c r="L33" s="49"/>
    </row>
    <row r="34" spans="1:12">
      <c r="A34" s="52" t="s">
        <v>12</v>
      </c>
      <c r="B34" s="51"/>
      <c r="C34" s="49"/>
      <c r="D34" s="19"/>
      <c r="E34" s="35" t="s">
        <v>282</v>
      </c>
      <c r="F34" s="95">
        <v>611393</v>
      </c>
      <c r="G34" s="21"/>
      <c r="H34" s="41"/>
      <c r="I34" s="47"/>
      <c r="K34" s="49"/>
      <c r="L34" s="49"/>
    </row>
    <row r="35" spans="1:12">
      <c r="A35" s="53" t="s">
        <v>13</v>
      </c>
      <c r="B35" s="30"/>
      <c r="C35" s="49"/>
      <c r="D35" s="19"/>
      <c r="E35" s="35" t="s">
        <v>278</v>
      </c>
      <c r="F35" s="95">
        <v>126388</v>
      </c>
      <c r="G35" s="21"/>
      <c r="H35" s="41"/>
      <c r="I35" s="47"/>
      <c r="K35" s="49"/>
      <c r="L35" s="49"/>
    </row>
    <row r="36" spans="1:12">
      <c r="A36" s="16"/>
      <c r="B36" s="30"/>
      <c r="C36" s="49"/>
      <c r="D36" s="19"/>
      <c r="E36" s="35" t="s">
        <v>279</v>
      </c>
      <c r="F36" s="95">
        <v>692977</v>
      </c>
      <c r="G36" s="21"/>
      <c r="H36" s="41" t="s">
        <v>81</v>
      </c>
      <c r="I36" s="97">
        <f>SUM(I32:I35)</f>
        <v>0</v>
      </c>
      <c r="K36" s="49"/>
      <c r="L36" s="49"/>
    </row>
    <row r="37" spans="1:12">
      <c r="A37" s="16"/>
      <c r="B37" s="30"/>
      <c r="C37" s="49"/>
      <c r="D37" s="19"/>
      <c r="E37" s="35" t="s">
        <v>283</v>
      </c>
      <c r="F37" s="95">
        <v>109336</v>
      </c>
      <c r="G37" s="21"/>
      <c r="H37" s="22"/>
      <c r="I37" s="47"/>
      <c r="K37" s="49"/>
      <c r="L37" s="49"/>
    </row>
    <row r="38" spans="1:12">
      <c r="A38" s="16"/>
      <c r="B38" s="30"/>
      <c r="C38" s="49"/>
      <c r="D38" s="19"/>
      <c r="E38" s="35" t="s">
        <v>284</v>
      </c>
      <c r="F38" s="95">
        <v>165816</v>
      </c>
      <c r="G38" s="54"/>
      <c r="H38" s="22" t="s">
        <v>82</v>
      </c>
      <c r="I38" s="97">
        <v>75855</v>
      </c>
      <c r="K38" s="49"/>
      <c r="L38" s="49"/>
    </row>
    <row r="39" spans="1:12">
      <c r="A39" s="16"/>
      <c r="B39" s="30"/>
      <c r="C39" s="49"/>
      <c r="D39" s="19"/>
      <c r="E39" s="35" t="s">
        <v>140</v>
      </c>
      <c r="F39" s="98">
        <v>497449</v>
      </c>
      <c r="G39" s="45"/>
      <c r="H39" s="22" t="s">
        <v>120</v>
      </c>
      <c r="I39" s="97">
        <v>2274931</v>
      </c>
      <c r="K39" s="49"/>
      <c r="L39" s="49"/>
    </row>
    <row r="40" spans="1:12">
      <c r="A40" s="16"/>
      <c r="B40" s="30"/>
      <c r="C40" s="49"/>
      <c r="D40" s="19"/>
      <c r="E40" s="35" t="s">
        <v>191</v>
      </c>
      <c r="F40" s="97">
        <v>663266</v>
      </c>
      <c r="G40" s="45"/>
      <c r="H40" s="22" t="s">
        <v>17</v>
      </c>
      <c r="I40" s="97">
        <v>16587</v>
      </c>
      <c r="K40" s="49"/>
      <c r="L40" s="49"/>
    </row>
    <row r="41" spans="1:12">
      <c r="A41" s="16"/>
      <c r="B41" s="30"/>
      <c r="C41" s="49"/>
      <c r="D41" s="19"/>
      <c r="E41" s="35" t="s">
        <v>270</v>
      </c>
      <c r="F41" s="97">
        <v>746174</v>
      </c>
      <c r="G41" s="55"/>
      <c r="H41" s="56"/>
      <c r="I41" s="57"/>
      <c r="K41" s="49"/>
      <c r="L41" s="49"/>
    </row>
    <row r="42" spans="1:12">
      <c r="A42" s="58"/>
      <c r="B42" s="59"/>
      <c r="C42" s="60"/>
      <c r="D42" s="61"/>
      <c r="E42" s="59" t="s">
        <v>285</v>
      </c>
      <c r="F42" s="99">
        <v>414541</v>
      </c>
      <c r="G42" s="62"/>
      <c r="K42" s="60"/>
      <c r="L42" s="60"/>
    </row>
    <row r="43" spans="1:12">
      <c r="F43" s="5"/>
      <c r="G43" s="5"/>
      <c r="H43" s="3" t="s">
        <v>115</v>
      </c>
    </row>
    <row r="44" spans="1:12">
      <c r="E44" s="63"/>
      <c r="F44" s="5"/>
      <c r="G44" s="5"/>
      <c r="H44" s="3" t="s">
        <v>116</v>
      </c>
      <c r="I44" s="100">
        <v>11451883</v>
      </c>
    </row>
    <row r="45" spans="1:12">
      <c r="E45" s="63"/>
      <c r="F45" s="5"/>
      <c r="G45" s="5"/>
      <c r="H45" s="3" t="s">
        <v>117</v>
      </c>
      <c r="I45" s="100">
        <v>2502209</v>
      </c>
    </row>
    <row r="46" spans="1:12">
      <c r="E46" s="63"/>
      <c r="F46" s="5"/>
      <c r="G46" s="5"/>
      <c r="H46" s="3" t="s">
        <v>118</v>
      </c>
      <c r="I46" s="100">
        <f>2177273+1673+97658+14914</f>
        <v>2291518</v>
      </c>
    </row>
    <row r="47" spans="1:12" ht="15" thickBot="1">
      <c r="E47" s="63"/>
      <c r="F47" s="5"/>
      <c r="G47" s="5"/>
      <c r="H47" s="3" t="s">
        <v>119</v>
      </c>
      <c r="I47" s="101">
        <f>I44+I45-I46</f>
        <v>11662574</v>
      </c>
    </row>
    <row r="48" spans="1:12" ht="15" thickTop="1">
      <c r="E48" s="63"/>
      <c r="F48" s="5"/>
      <c r="G48" s="5"/>
    </row>
    <row r="59" spans="2:2">
      <c r="B59" s="64"/>
    </row>
    <row r="60" spans="2:2">
      <c r="B60" s="65"/>
    </row>
    <row r="61" spans="2:2">
      <c r="B61" s="64"/>
    </row>
  </sheetData>
  <mergeCells count="1">
    <mergeCell ref="A31:C31"/>
  </mergeCells>
  <phoneticPr fontId="3" type="noConversion"/>
  <printOptions horizontalCentered="1"/>
  <pageMargins left="0.39370078740157483" right="0" top="1.1811023622047245" bottom="0.47244094488188981" header="0.59055118110236227" footer="0.15748031496062992"/>
  <pageSetup paperSize="9" scale="78" orientation="landscape" r:id="rId1"/>
  <headerFooter alignWithMargins="0">
    <oddHeader>&amp;L
帝寶101Q2財務比率(合併)&amp;RPreparer: DY 2012/8/17
Reviewer: KAY 2012/8/20 CH 2012/8/20 AMMY 2012/8/20
2320-2: &amp;P/&amp;N</oddHeader>
    <oddFooter>&amp;L帝寶工業股份有限公司 
Period End: 2012/6/30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1"/>
  <sheetViews>
    <sheetView topLeftCell="C1" zoomScale="120" zoomScaleNormal="120" zoomScaleSheetLayoutView="100" workbookViewId="0">
      <pane ySplit="2" topLeftCell="A21" activePane="bottomLeft" state="frozen"/>
      <selection activeCell="I39" sqref="I39"/>
      <selection pane="bottomLeft" activeCell="I39" sqref="I39"/>
    </sheetView>
  </sheetViews>
  <sheetFormatPr defaultColWidth="31.28515625" defaultRowHeight="14.25"/>
  <cols>
    <col min="1" max="1" width="34" style="3" customWidth="1"/>
    <col min="2" max="2" width="23.140625" style="1" bestFit="1" customWidth="1"/>
    <col min="3" max="3" width="8.7109375" style="2" bestFit="1" customWidth="1"/>
    <col min="4" max="4" width="2.5703125" style="2" customWidth="1"/>
    <col min="5" max="5" width="32.28515625" style="3" customWidth="1"/>
    <col min="6" max="6" width="13" style="4" bestFit="1" customWidth="1"/>
    <col min="7" max="7" width="1" style="4" customWidth="1"/>
    <col min="8" max="8" width="36.85546875" style="3" customWidth="1"/>
    <col min="9" max="9" width="13" style="5" bestFit="1" customWidth="1"/>
    <col min="10" max="10" width="31.28515625" style="6"/>
    <col min="11" max="12" width="8.7109375" style="2" bestFit="1" customWidth="1"/>
    <col min="13" max="16384" width="31.28515625" style="3"/>
  </cols>
  <sheetData>
    <row r="1" spans="1:12">
      <c r="A1" s="1" t="s">
        <v>21</v>
      </c>
    </row>
    <row r="2" spans="1:12">
      <c r="A2" s="7" t="s">
        <v>189</v>
      </c>
      <c r="I2" s="8" t="s">
        <v>0</v>
      </c>
    </row>
    <row r="3" spans="1:12">
      <c r="A3" s="9" t="s">
        <v>22</v>
      </c>
      <c r="B3" s="10" t="s">
        <v>1</v>
      </c>
      <c r="C3" s="11">
        <f>F3/F4</f>
        <v>0.57180099091013559</v>
      </c>
      <c r="D3" s="12"/>
      <c r="E3" s="13" t="s">
        <v>23</v>
      </c>
      <c r="F3" s="67">
        <v>13882579</v>
      </c>
      <c r="G3" s="14"/>
      <c r="H3" s="15" t="s">
        <v>24</v>
      </c>
      <c r="I3" s="68">
        <v>16646659</v>
      </c>
      <c r="K3" s="11">
        <v>0.59016196378942232</v>
      </c>
      <c r="L3" s="11">
        <f>C3-K3</f>
        <v>-1.836097287928673E-2</v>
      </c>
    </row>
    <row r="4" spans="1:12">
      <c r="A4" s="16" t="s">
        <v>102</v>
      </c>
      <c r="B4" s="17" t="s">
        <v>100</v>
      </c>
      <c r="C4" s="18">
        <f>SUM(F5:F6)/F7</f>
        <v>1.4364066632217909</v>
      </c>
      <c r="D4" s="19"/>
      <c r="E4" s="16" t="s">
        <v>25</v>
      </c>
      <c r="F4" s="68">
        <v>24278690</v>
      </c>
      <c r="G4" s="21"/>
      <c r="H4" s="22" t="s">
        <v>26</v>
      </c>
      <c r="I4" s="20">
        <v>0</v>
      </c>
      <c r="K4" s="18">
        <v>1.2489724628634415</v>
      </c>
      <c r="L4" s="18">
        <f t="shared" ref="L4:L24" si="0">C4-K4</f>
        <v>0.18743420035834935</v>
      </c>
    </row>
    <row r="5" spans="1:12">
      <c r="A5" s="23" t="s">
        <v>27</v>
      </c>
      <c r="B5" s="24" t="s">
        <v>2</v>
      </c>
      <c r="C5" s="25">
        <f>F9/F10</f>
        <v>1.1360604117189566</v>
      </c>
      <c r="D5" s="19"/>
      <c r="E5" s="16" t="s">
        <v>104</v>
      </c>
      <c r="F5" s="68">
        <v>10396111</v>
      </c>
      <c r="G5" s="21"/>
      <c r="H5" s="22" t="s">
        <v>112</v>
      </c>
      <c r="I5" s="68">
        <f>14684678-11023136-34010</f>
        <v>3627532</v>
      </c>
      <c r="K5" s="25">
        <v>1.2765880098049001</v>
      </c>
      <c r="L5" s="25">
        <f t="shared" si="0"/>
        <v>-0.14052759808594351</v>
      </c>
    </row>
    <row r="6" spans="1:12">
      <c r="A6" s="16" t="s">
        <v>28</v>
      </c>
      <c r="B6" s="17" t="s">
        <v>14</v>
      </c>
      <c r="C6" s="18">
        <f>(F9-F11-I38)/F10</f>
        <v>0.71951563200119739</v>
      </c>
      <c r="D6" s="19"/>
      <c r="E6" s="16" t="s">
        <v>101</v>
      </c>
      <c r="F6" s="68">
        <v>5437595</v>
      </c>
      <c r="G6" s="21"/>
      <c r="H6" s="22" t="s">
        <v>29</v>
      </c>
      <c r="I6" s="20">
        <f>F9-F10</f>
        <v>1149028</v>
      </c>
      <c r="K6" s="18">
        <v>0.7876312098969267</v>
      </c>
      <c r="L6" s="18">
        <f t="shared" si="0"/>
        <v>-6.8115577895729307E-2</v>
      </c>
    </row>
    <row r="7" spans="1:12">
      <c r="A7" s="16" t="s">
        <v>30</v>
      </c>
      <c r="B7" s="17" t="s">
        <v>3</v>
      </c>
      <c r="C7" s="26">
        <f>F13/F14</f>
        <v>16.060743655718682</v>
      </c>
      <c r="D7" s="27"/>
      <c r="E7" s="16" t="s">
        <v>109</v>
      </c>
      <c r="F7" s="68">
        <v>11023136</v>
      </c>
      <c r="G7" s="21"/>
      <c r="H7" s="22" t="s">
        <v>31</v>
      </c>
      <c r="I7" s="68">
        <f>I47</f>
        <v>10740414</v>
      </c>
      <c r="K7" s="26">
        <v>-5.2465996179604613</v>
      </c>
      <c r="L7" s="26">
        <f t="shared" si="0"/>
        <v>21.307343273679145</v>
      </c>
    </row>
    <row r="8" spans="1:12">
      <c r="A8" s="23" t="s">
        <v>32</v>
      </c>
      <c r="B8" s="24" t="s">
        <v>18</v>
      </c>
      <c r="C8" s="29">
        <f>(F13+I39+I40)/F14</f>
        <v>30.80157408808839</v>
      </c>
      <c r="D8" s="27"/>
      <c r="E8" s="16" t="s">
        <v>121</v>
      </c>
      <c r="F8" s="20">
        <v>1670101</v>
      </c>
      <c r="G8" s="21"/>
      <c r="H8" s="22"/>
      <c r="I8" s="28"/>
      <c r="K8" s="29">
        <v>15.433143080711606</v>
      </c>
      <c r="L8" s="29">
        <f t="shared" si="0"/>
        <v>15.368431007376785</v>
      </c>
    </row>
    <row r="9" spans="1:12">
      <c r="A9" s="16" t="s">
        <v>33</v>
      </c>
      <c r="B9" s="30" t="s">
        <v>149</v>
      </c>
      <c r="C9" s="31">
        <f>F18/(SUM(I12:I15)/2)</f>
        <v>4.5099845340044968</v>
      </c>
      <c r="D9" s="32"/>
      <c r="E9" s="16" t="s">
        <v>34</v>
      </c>
      <c r="F9" s="68">
        <v>9594012</v>
      </c>
      <c r="G9" s="21"/>
      <c r="H9" s="22" t="s">
        <v>35</v>
      </c>
      <c r="I9" s="68">
        <v>1925887</v>
      </c>
      <c r="K9" s="31">
        <v>4.6767890640311336</v>
      </c>
      <c r="L9" s="31">
        <f>C9-K9</f>
        <v>-0.16680453002663675</v>
      </c>
    </row>
    <row r="10" spans="1:12">
      <c r="A10" s="33" t="s">
        <v>36</v>
      </c>
      <c r="B10" s="17" t="s">
        <v>129</v>
      </c>
      <c r="C10" s="26">
        <f>365/C9</f>
        <v>80.931541393981206</v>
      </c>
      <c r="D10" s="34"/>
      <c r="E10" s="35" t="s">
        <v>37</v>
      </c>
      <c r="F10" s="68">
        <v>8444984</v>
      </c>
      <c r="G10" s="21"/>
      <c r="H10" s="22" t="s">
        <v>38</v>
      </c>
      <c r="I10" s="68">
        <f>F14</f>
        <v>138747</v>
      </c>
      <c r="K10" s="26">
        <v>78.044999464951317</v>
      </c>
      <c r="L10" s="26">
        <f t="shared" si="0"/>
        <v>2.8865419290298888</v>
      </c>
    </row>
    <row r="11" spans="1:12">
      <c r="A11" s="33" t="s">
        <v>39</v>
      </c>
      <c r="B11" s="30" t="s">
        <v>142</v>
      </c>
      <c r="C11" s="26">
        <f>I18/(SUM(I16+I17)/2)</f>
        <v>2.8068913856823992</v>
      </c>
      <c r="D11" s="27"/>
      <c r="E11" s="16" t="s">
        <v>40</v>
      </c>
      <c r="F11" s="68">
        <v>3435995</v>
      </c>
      <c r="G11" s="21"/>
      <c r="H11" s="22" t="s">
        <v>41</v>
      </c>
      <c r="I11" s="68">
        <f>F13-F14</f>
        <v>2089633</v>
      </c>
      <c r="K11" s="26">
        <v>2.9937714403313924</v>
      </c>
      <c r="L11" s="26">
        <f t="shared" si="0"/>
        <v>-0.18688005464899327</v>
      </c>
    </row>
    <row r="12" spans="1:12">
      <c r="A12" s="16" t="s">
        <v>42</v>
      </c>
      <c r="B12" s="36" t="s">
        <v>143</v>
      </c>
      <c r="C12" s="37">
        <f>I18/(SUM(I27:I30)/2)</f>
        <v>5.8293555350327066</v>
      </c>
      <c r="D12" s="38"/>
      <c r="E12" s="16" t="s">
        <v>88</v>
      </c>
      <c r="F12" s="68">
        <v>339548</v>
      </c>
      <c r="G12" s="21"/>
      <c r="H12" s="22" t="s">
        <v>43</v>
      </c>
      <c r="I12" s="68">
        <v>270338</v>
      </c>
      <c r="K12" s="37">
        <v>5.7242227594407815</v>
      </c>
      <c r="L12" s="37">
        <f t="shared" si="0"/>
        <v>0.10513277559192513</v>
      </c>
    </row>
    <row r="13" spans="1:12">
      <c r="A13" s="16" t="s">
        <v>44</v>
      </c>
      <c r="B13" s="30" t="s">
        <v>4</v>
      </c>
      <c r="C13" s="26">
        <f>365/C11</f>
        <v>130.03709436774761</v>
      </c>
      <c r="D13" s="34"/>
      <c r="E13" s="33" t="s">
        <v>87</v>
      </c>
      <c r="F13" s="68">
        <f>2089633+138747</f>
        <v>2228380</v>
      </c>
      <c r="G13" s="21"/>
      <c r="H13" s="39" t="s">
        <v>45</v>
      </c>
      <c r="I13" s="68">
        <v>3010926</v>
      </c>
      <c r="K13" s="26">
        <v>121.91979490578503</v>
      </c>
      <c r="L13" s="26">
        <f t="shared" si="0"/>
        <v>8.1172994619625882</v>
      </c>
    </row>
    <row r="14" spans="1:12">
      <c r="A14" s="16" t="s">
        <v>103</v>
      </c>
      <c r="B14" s="40" t="s">
        <v>144</v>
      </c>
      <c r="C14" s="26">
        <f>F18/I23</f>
        <v>1.4130656212553436</v>
      </c>
      <c r="D14" s="27"/>
      <c r="E14" s="33" t="s">
        <v>46</v>
      </c>
      <c r="F14" s="68">
        <v>138747</v>
      </c>
      <c r="G14" s="21"/>
      <c r="H14" s="39" t="s">
        <v>47</v>
      </c>
      <c r="I14" s="68">
        <v>155643</v>
      </c>
      <c r="K14" s="26">
        <v>1.2150060780898926</v>
      </c>
      <c r="L14" s="26">
        <f t="shared" si="0"/>
        <v>0.19805954316545105</v>
      </c>
    </row>
    <row r="15" spans="1:12">
      <c r="A15" s="16" t="s">
        <v>48</v>
      </c>
      <c r="B15" s="17" t="s">
        <v>145</v>
      </c>
      <c r="C15" s="26">
        <f>F18/F16</f>
        <v>0.63225366564346319</v>
      </c>
      <c r="D15" s="27"/>
      <c r="E15" s="16" t="s">
        <v>49</v>
      </c>
      <c r="F15" s="68">
        <v>1656644</v>
      </c>
      <c r="G15" s="21"/>
      <c r="H15" s="39" t="s">
        <v>50</v>
      </c>
      <c r="I15" s="68">
        <v>3087083</v>
      </c>
      <c r="K15" s="26">
        <v>0.65745562973445326</v>
      </c>
      <c r="L15" s="26">
        <f t="shared" si="0"/>
        <v>-2.520196409099007E-2</v>
      </c>
    </row>
    <row r="16" spans="1:12">
      <c r="A16" s="33" t="s">
        <v>51</v>
      </c>
      <c r="B16" s="17" t="s">
        <v>146</v>
      </c>
      <c r="C16" s="18">
        <f>(F15+I10*0.83)/F16</f>
        <v>7.6146280205901348E-2</v>
      </c>
      <c r="D16" s="19"/>
      <c r="E16" s="16" t="s">
        <v>52</v>
      </c>
      <c r="F16" s="68">
        <f>(F4+I22)/2</f>
        <v>23268425</v>
      </c>
      <c r="G16" s="21"/>
      <c r="H16" s="22" t="s">
        <v>53</v>
      </c>
      <c r="I16" s="68">
        <v>3664622.4782377849</v>
      </c>
      <c r="K16" s="18">
        <v>-1.8047453480236827E-2</v>
      </c>
      <c r="L16" s="18">
        <f t="shared" si="0"/>
        <v>9.4193733686138176E-2</v>
      </c>
    </row>
    <row r="17" spans="1:12">
      <c r="A17" s="16" t="s">
        <v>54</v>
      </c>
      <c r="B17" s="17" t="s">
        <v>147</v>
      </c>
      <c r="C17" s="18">
        <f>F15/F17</f>
        <v>0.16808146184578088</v>
      </c>
      <c r="D17" s="19"/>
      <c r="E17" s="16" t="s">
        <v>55</v>
      </c>
      <c r="F17" s="68">
        <f>(F5+I21)/2</f>
        <v>9856197</v>
      </c>
      <c r="G17" s="21"/>
      <c r="H17" s="41" t="s">
        <v>56</v>
      </c>
      <c r="I17" s="68">
        <v>3814782</v>
      </c>
      <c r="K17" s="18">
        <v>-4.9121452930691832E-2</v>
      </c>
      <c r="L17" s="18">
        <f t="shared" si="0"/>
        <v>0.21720291477647272</v>
      </c>
    </row>
    <row r="18" spans="1:12">
      <c r="A18" s="16" t="s">
        <v>57</v>
      </c>
      <c r="B18" s="30" t="s">
        <v>84</v>
      </c>
      <c r="C18" s="18">
        <f>I9/I19</f>
        <v>1.1614574915388345</v>
      </c>
      <c r="D18" s="19"/>
      <c r="E18" s="16" t="s">
        <v>58</v>
      </c>
      <c r="F18" s="68">
        <v>14711547</v>
      </c>
      <c r="G18" s="21"/>
      <c r="H18" s="22" t="s">
        <v>59</v>
      </c>
      <c r="I18" s="68">
        <v>10496938</v>
      </c>
      <c r="K18" s="18">
        <v>0.82572712952397953</v>
      </c>
      <c r="L18" s="18">
        <f t="shared" si="0"/>
        <v>0.33573036201485495</v>
      </c>
    </row>
    <row r="19" spans="1:12">
      <c r="A19" s="16" t="s">
        <v>60</v>
      </c>
      <c r="B19" s="30" t="s">
        <v>85</v>
      </c>
      <c r="C19" s="18">
        <f>I11/I19</f>
        <v>1.2602088816305264</v>
      </c>
      <c r="D19" s="19"/>
      <c r="E19" s="16" t="s">
        <v>61</v>
      </c>
      <c r="F19" s="68">
        <v>165816</v>
      </c>
      <c r="G19" s="21"/>
      <c r="H19" s="22" t="s">
        <v>62</v>
      </c>
      <c r="I19" s="68">
        <v>1658164</v>
      </c>
      <c r="K19" s="18">
        <v>-0.32737533802446561</v>
      </c>
      <c r="L19" s="18">
        <f t="shared" si="0"/>
        <v>1.5875842196549921</v>
      </c>
    </row>
    <row r="20" spans="1:12">
      <c r="A20" s="16" t="s">
        <v>63</v>
      </c>
      <c r="B20" s="40" t="s">
        <v>5</v>
      </c>
      <c r="C20" s="18">
        <f>F15/F18</f>
        <v>0.11260841568871037</v>
      </c>
      <c r="D20" s="19"/>
      <c r="E20" s="16" t="s">
        <v>64</v>
      </c>
      <c r="F20" s="68">
        <v>3588212</v>
      </c>
      <c r="G20" s="21"/>
      <c r="H20" s="22" t="s">
        <v>105</v>
      </c>
      <c r="I20" s="68">
        <v>9799035</v>
      </c>
      <c r="K20" s="18">
        <v>-3.2480406700189729E-2</v>
      </c>
      <c r="L20" s="18">
        <f t="shared" si="0"/>
        <v>0.14508882238890008</v>
      </c>
    </row>
    <row r="21" spans="1:12">
      <c r="A21" s="33" t="s">
        <v>65</v>
      </c>
      <c r="B21" s="17" t="s">
        <v>6</v>
      </c>
      <c r="C21" s="26">
        <f>F8/F19</f>
        <v>10.072013557195929</v>
      </c>
      <c r="D21" s="27"/>
      <c r="E21" s="16" t="s">
        <v>66</v>
      </c>
      <c r="F21" s="20">
        <f>SUM(F22:F26)</f>
        <v>12729748</v>
      </c>
      <c r="G21" s="21"/>
      <c r="H21" s="22" t="s">
        <v>106</v>
      </c>
      <c r="I21" s="68">
        <v>9316283</v>
      </c>
      <c r="K21" s="26">
        <v>-2.3558643315482222</v>
      </c>
      <c r="L21" s="26">
        <f t="shared" si="0"/>
        <v>12.427877888744151</v>
      </c>
    </row>
    <row r="22" spans="1:12">
      <c r="A22" s="16" t="s">
        <v>67</v>
      </c>
      <c r="B22" s="17" t="s">
        <v>148</v>
      </c>
      <c r="C22" s="18">
        <f>F20/F10</f>
        <v>0.42489269369841315</v>
      </c>
      <c r="D22" s="19"/>
      <c r="E22" s="35" t="s">
        <v>16</v>
      </c>
      <c r="F22" s="68">
        <v>1847345</v>
      </c>
      <c r="G22" s="21"/>
      <c r="H22" s="22" t="s">
        <v>68</v>
      </c>
      <c r="I22" s="68">
        <v>22258160</v>
      </c>
      <c r="K22" s="18">
        <v>0.28989685908247381</v>
      </c>
      <c r="L22" s="18">
        <f t="shared" si="0"/>
        <v>0.13499583461593934</v>
      </c>
    </row>
    <row r="23" spans="1:12">
      <c r="A23" s="16" t="s">
        <v>69</v>
      </c>
      <c r="B23" s="17" t="s">
        <v>7</v>
      </c>
      <c r="C23" s="18">
        <f>F21/F27</f>
        <v>0.91031711485118449</v>
      </c>
      <c r="D23" s="19"/>
      <c r="E23" s="35" t="s">
        <v>19</v>
      </c>
      <c r="F23" s="68">
        <v>1713676</v>
      </c>
      <c r="G23" s="21"/>
      <c r="H23" s="22" t="s">
        <v>110</v>
      </c>
      <c r="I23" s="68">
        <f>(F7+I20)/2</f>
        <v>10411085.5</v>
      </c>
      <c r="K23" s="18">
        <v>0.64955719071380458</v>
      </c>
      <c r="L23" s="18">
        <f t="shared" si="0"/>
        <v>0.26075992413737992</v>
      </c>
    </row>
    <row r="24" spans="1:12">
      <c r="A24" s="16" t="s">
        <v>70</v>
      </c>
      <c r="B24" s="17" t="s">
        <v>86</v>
      </c>
      <c r="C24" s="18">
        <f>(F20-I24)/SUM(I3:I6)</f>
        <v>0.13653158285876646</v>
      </c>
      <c r="D24" s="19"/>
      <c r="E24" s="35" t="s">
        <v>89</v>
      </c>
      <c r="F24" s="68">
        <v>2890162</v>
      </c>
      <c r="G24" s="21"/>
      <c r="H24" s="22" t="s">
        <v>71</v>
      </c>
      <c r="I24" s="20">
        <f>F42</f>
        <v>663266</v>
      </c>
      <c r="K24" s="18">
        <v>4.762271561960784E-2</v>
      </c>
      <c r="L24" s="18">
        <f t="shared" si="0"/>
        <v>8.8908867239158612E-2</v>
      </c>
    </row>
    <row r="25" spans="1:12">
      <c r="A25" s="72" t="s">
        <v>113</v>
      </c>
      <c r="B25" s="73" t="s">
        <v>114</v>
      </c>
      <c r="C25" s="26">
        <f>(F18-I7)/I9</f>
        <v>2.0619761180173084</v>
      </c>
      <c r="D25" s="27"/>
      <c r="E25" s="35" t="s">
        <v>150</v>
      </c>
      <c r="F25" s="82">
        <v>2690353</v>
      </c>
      <c r="G25" s="21"/>
      <c r="H25" s="22" t="s">
        <v>73</v>
      </c>
      <c r="I25" s="68">
        <v>702419</v>
      </c>
      <c r="K25" s="26">
        <v>1.0677709939023106</v>
      </c>
      <c r="L25" s="26">
        <f>C26-K25</f>
        <v>9.8653412477056612E-3</v>
      </c>
    </row>
    <row r="26" spans="1:12">
      <c r="A26" s="16" t="s">
        <v>72</v>
      </c>
      <c r="B26" s="17" t="s">
        <v>8</v>
      </c>
      <c r="C26" s="26">
        <f>I9/(I9-I10)</f>
        <v>1.0776363351500162</v>
      </c>
      <c r="D26" s="27"/>
      <c r="E26" s="35" t="s">
        <v>191</v>
      </c>
      <c r="F26" s="68">
        <f>F20</f>
        <v>3588212</v>
      </c>
      <c r="G26" s="21"/>
      <c r="H26" s="22" t="s">
        <v>75</v>
      </c>
      <c r="I26" s="82">
        <v>0</v>
      </c>
      <c r="K26" s="42"/>
      <c r="L26" s="42"/>
    </row>
    <row r="27" spans="1:12">
      <c r="A27" s="16"/>
      <c r="B27" s="17"/>
      <c r="C27" s="43"/>
      <c r="D27" s="44"/>
      <c r="E27" s="33" t="s">
        <v>76</v>
      </c>
      <c r="F27" s="20">
        <f>SUM(F28:F42)</f>
        <v>13983861</v>
      </c>
      <c r="G27" s="21"/>
      <c r="H27" s="22" t="s">
        <v>77</v>
      </c>
      <c r="I27" s="68">
        <v>883263</v>
      </c>
      <c r="K27" s="43"/>
      <c r="L27" s="43"/>
    </row>
    <row r="28" spans="1:12">
      <c r="A28" s="16"/>
      <c r="B28" s="17"/>
      <c r="C28" s="43"/>
      <c r="D28" s="44"/>
      <c r="E28" s="35" t="s">
        <v>192</v>
      </c>
      <c r="F28" s="69">
        <v>2268581</v>
      </c>
      <c r="G28" s="45"/>
      <c r="H28" s="22" t="s">
        <v>78</v>
      </c>
      <c r="I28" s="68">
        <v>733487</v>
      </c>
      <c r="K28" s="43"/>
      <c r="L28" s="43"/>
    </row>
    <row r="29" spans="1:12">
      <c r="A29" s="16"/>
      <c r="B29" s="17"/>
      <c r="C29" s="43"/>
      <c r="D29" s="44"/>
      <c r="E29" s="35" t="s">
        <v>19</v>
      </c>
      <c r="F29" s="69">
        <v>2223192</v>
      </c>
      <c r="G29" s="21"/>
      <c r="H29" s="22" t="s">
        <v>79</v>
      </c>
      <c r="I29" s="68">
        <v>1126977</v>
      </c>
      <c r="K29" s="43"/>
      <c r="L29" s="43"/>
    </row>
    <row r="30" spans="1:12">
      <c r="A30" s="16"/>
      <c r="B30" s="17"/>
      <c r="C30" s="43"/>
      <c r="D30" s="44"/>
      <c r="E30" s="35" t="s">
        <v>89</v>
      </c>
      <c r="F30" s="69">
        <v>2449057</v>
      </c>
      <c r="G30" s="21"/>
      <c r="H30" s="22" t="s">
        <v>80</v>
      </c>
      <c r="I30" s="68">
        <v>857679</v>
      </c>
      <c r="K30" s="43"/>
      <c r="L30" s="43"/>
    </row>
    <row r="31" spans="1:12" ht="15.75">
      <c r="A31" s="291" t="s">
        <v>9</v>
      </c>
      <c r="B31" s="292"/>
      <c r="C31" s="293"/>
      <c r="D31" s="46"/>
      <c r="E31" s="35" t="s">
        <v>150</v>
      </c>
      <c r="F31" s="69">
        <v>1979508</v>
      </c>
      <c r="G31" s="21"/>
      <c r="H31" s="74"/>
      <c r="I31" s="75"/>
      <c r="K31" s="66"/>
      <c r="L31" s="66"/>
    </row>
    <row r="32" spans="1:12">
      <c r="A32" s="48" t="s">
        <v>10</v>
      </c>
      <c r="B32" s="30"/>
      <c r="C32" s="49"/>
      <c r="D32" s="19"/>
      <c r="E32" s="35" t="s">
        <v>193</v>
      </c>
      <c r="F32" s="69">
        <f>I25+I26</f>
        <v>702419</v>
      </c>
      <c r="G32" s="45"/>
      <c r="H32" s="74"/>
      <c r="I32" s="75"/>
      <c r="K32" s="49"/>
      <c r="L32" s="49"/>
    </row>
    <row r="33" spans="1:12">
      <c r="A33" s="50" t="s">
        <v>11</v>
      </c>
      <c r="B33" s="51"/>
      <c r="C33" s="49"/>
      <c r="D33" s="19"/>
      <c r="E33" s="35" t="s">
        <v>195</v>
      </c>
      <c r="F33" s="68">
        <v>698218</v>
      </c>
      <c r="G33" s="21"/>
      <c r="H33" s="74"/>
      <c r="I33" s="75"/>
      <c r="K33" s="49"/>
      <c r="L33" s="49"/>
    </row>
    <row r="34" spans="1:12">
      <c r="A34" s="52" t="s">
        <v>12</v>
      </c>
      <c r="B34" s="51"/>
      <c r="C34" s="49"/>
      <c r="D34" s="19"/>
      <c r="E34" s="35" t="s">
        <v>19</v>
      </c>
      <c r="F34" s="68">
        <v>205576</v>
      </c>
      <c r="G34" s="21"/>
      <c r="H34" s="41"/>
      <c r="I34" s="47"/>
      <c r="K34" s="49"/>
      <c r="L34" s="49"/>
    </row>
    <row r="35" spans="1:12">
      <c r="A35" s="53" t="s">
        <v>13</v>
      </c>
      <c r="B35" s="30"/>
      <c r="C35" s="49"/>
      <c r="D35" s="19"/>
      <c r="E35" s="35" t="s">
        <v>89</v>
      </c>
      <c r="F35" s="68">
        <v>99630</v>
      </c>
      <c r="G35" s="21"/>
      <c r="H35" s="41"/>
      <c r="I35" s="47"/>
      <c r="K35" s="49"/>
      <c r="L35" s="49"/>
    </row>
    <row r="36" spans="1:12">
      <c r="A36" s="16"/>
      <c r="B36" s="30"/>
      <c r="C36" s="49"/>
      <c r="D36" s="19"/>
      <c r="E36" s="35" t="s">
        <v>150</v>
      </c>
      <c r="F36" s="68">
        <v>611393</v>
      </c>
      <c r="G36" s="21"/>
      <c r="H36" s="41" t="s">
        <v>81</v>
      </c>
      <c r="I36" s="47">
        <f>SUM(I32:I35)</f>
        <v>0</v>
      </c>
      <c r="K36" s="49"/>
      <c r="L36" s="49"/>
    </row>
    <row r="37" spans="1:12">
      <c r="A37" s="16"/>
      <c r="B37" s="30"/>
      <c r="C37" s="49"/>
      <c r="D37" s="19"/>
      <c r="E37" s="35" t="s">
        <v>194</v>
      </c>
      <c r="F37" s="68">
        <v>126388</v>
      </c>
      <c r="G37" s="21"/>
      <c r="H37" s="22"/>
      <c r="I37" s="47"/>
      <c r="K37" s="49"/>
      <c r="L37" s="49"/>
    </row>
    <row r="38" spans="1:12">
      <c r="A38" s="16"/>
      <c r="B38" s="30"/>
      <c r="C38" s="49"/>
      <c r="D38" s="19"/>
      <c r="E38" s="35" t="s">
        <v>196</v>
      </c>
      <c r="F38" s="68">
        <v>630102</v>
      </c>
      <c r="G38" s="54"/>
      <c r="H38" s="22" t="s">
        <v>82</v>
      </c>
      <c r="I38" s="69">
        <v>81719</v>
      </c>
      <c r="K38" s="49"/>
      <c r="L38" s="49"/>
    </row>
    <row r="39" spans="1:12">
      <c r="A39" s="16"/>
      <c r="B39" s="30"/>
      <c r="C39" s="49"/>
      <c r="D39" s="19"/>
      <c r="E39" s="35" t="s">
        <v>19</v>
      </c>
      <c r="F39" s="71">
        <v>663266</v>
      </c>
      <c r="G39" s="45"/>
      <c r="H39" s="22" t="s">
        <v>120</v>
      </c>
      <c r="I39" s="69">
        <v>2024200</v>
      </c>
      <c r="K39" s="49"/>
      <c r="L39" s="49"/>
    </row>
    <row r="40" spans="1:12">
      <c r="A40" s="16"/>
      <c r="B40" s="30"/>
      <c r="C40" s="49"/>
      <c r="D40" s="19"/>
      <c r="E40" s="35" t="s">
        <v>89</v>
      </c>
      <c r="F40" s="69">
        <v>165816</v>
      </c>
      <c r="G40" s="45"/>
      <c r="H40" s="22" t="s">
        <v>17</v>
      </c>
      <c r="I40" s="69">
        <v>21046</v>
      </c>
      <c r="K40" s="49"/>
      <c r="L40" s="49"/>
    </row>
    <row r="41" spans="1:12">
      <c r="A41" s="16"/>
      <c r="B41" s="30"/>
      <c r="C41" s="49"/>
      <c r="D41" s="19"/>
      <c r="E41" s="35" t="s">
        <v>150</v>
      </c>
      <c r="F41" s="69">
        <v>497449</v>
      </c>
      <c r="G41" s="55"/>
      <c r="H41" s="56"/>
      <c r="I41" s="57"/>
      <c r="K41" s="49"/>
      <c r="L41" s="49"/>
    </row>
    <row r="42" spans="1:12">
      <c r="A42" s="58"/>
      <c r="B42" s="59"/>
      <c r="C42" s="60"/>
      <c r="D42" s="61"/>
      <c r="E42" s="59" t="s">
        <v>190</v>
      </c>
      <c r="F42" s="70">
        <v>663266</v>
      </c>
      <c r="G42" s="62"/>
      <c r="K42" s="60"/>
      <c r="L42" s="60"/>
    </row>
    <row r="43" spans="1:12">
      <c r="F43" s="5"/>
      <c r="G43" s="5"/>
      <c r="H43" s="3" t="s">
        <v>115</v>
      </c>
    </row>
    <row r="44" spans="1:12">
      <c r="E44" s="63"/>
      <c r="F44" s="5"/>
      <c r="G44" s="5"/>
      <c r="H44" s="3" t="s">
        <v>116</v>
      </c>
      <c r="I44" s="5">
        <v>10496938</v>
      </c>
    </row>
    <row r="45" spans="1:12">
      <c r="E45" s="63"/>
      <c r="F45" s="5"/>
      <c r="G45" s="5"/>
      <c r="H45" s="3" t="s">
        <v>117</v>
      </c>
      <c r="I45" s="5">
        <v>2288722</v>
      </c>
    </row>
    <row r="46" spans="1:12">
      <c r="E46" s="63"/>
      <c r="F46" s="5"/>
      <c r="G46" s="5"/>
      <c r="H46" s="3" t="s">
        <v>118</v>
      </c>
      <c r="I46" s="5">
        <f>I39+I40</f>
        <v>2045246</v>
      </c>
    </row>
    <row r="47" spans="1:12" ht="15" thickBot="1">
      <c r="E47" s="63"/>
      <c r="F47" s="5"/>
      <c r="G47" s="5"/>
      <c r="H47" s="3" t="s">
        <v>119</v>
      </c>
      <c r="I47" s="76">
        <f>I44+I45-I46</f>
        <v>10740414</v>
      </c>
    </row>
    <row r="48" spans="1:12" ht="15" thickTop="1">
      <c r="E48" s="63"/>
      <c r="F48" s="5"/>
      <c r="G48" s="5"/>
    </row>
    <row r="59" spans="2:2">
      <c r="B59" s="64"/>
    </row>
    <row r="60" spans="2:2">
      <c r="B60" s="65"/>
    </row>
    <row r="61" spans="2:2">
      <c r="B61" s="64"/>
    </row>
  </sheetData>
  <mergeCells count="1">
    <mergeCell ref="A31:C31"/>
  </mergeCells>
  <phoneticPr fontId="3" type="noConversion"/>
  <printOptions horizontalCentered="1"/>
  <pageMargins left="0.39370078740157483" right="0" top="1.1811023622047245" bottom="0.47244094488188981" header="0.59055118110236227" footer="0.15748031496062992"/>
  <pageSetup paperSize="9" scale="78" orientation="landscape" r:id="rId1"/>
  <headerFooter alignWithMargins="0">
    <oddHeader>&amp;L
帝寶101Q2財務比率(合併)&amp;RPreparer: DY 2012/8/17
Reviewer: KAY 2012/8/20 CH 2012/8/20 AMMY 2012/8/20
2320-2: &amp;P/&amp;N</oddHeader>
    <oddFooter>&amp;L帝寶工業股份有限公司 
Period End: 2012/6/30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>
    <tabColor rgb="FFFFC000"/>
    <pageSetUpPr fitToPage="1"/>
  </sheetPr>
  <dimension ref="A1:J61"/>
  <sheetViews>
    <sheetView zoomScale="120" zoomScaleNormal="120" zoomScaleSheetLayoutView="100" workbookViewId="0">
      <pane ySplit="2" topLeftCell="A19" activePane="bottomLeft" state="frozen"/>
      <selection activeCell="F15" sqref="F15"/>
      <selection pane="bottomLeft" activeCell="C26" sqref="C26"/>
    </sheetView>
  </sheetViews>
  <sheetFormatPr defaultColWidth="31.28515625" defaultRowHeight="14.25"/>
  <cols>
    <col min="1" max="1" width="34" style="3" customWidth="1"/>
    <col min="2" max="2" width="23.140625" style="1" bestFit="1" customWidth="1"/>
    <col min="3" max="3" width="8.7109375" style="2" bestFit="1" customWidth="1"/>
    <col min="4" max="4" width="2.5703125" style="2" customWidth="1"/>
    <col min="5" max="5" width="32.28515625" style="3" customWidth="1"/>
    <col min="6" max="6" width="13" style="4" bestFit="1" customWidth="1"/>
    <col min="7" max="7" width="1" style="4" customWidth="1"/>
    <col min="8" max="8" width="36.85546875" style="3" customWidth="1"/>
    <col min="9" max="9" width="13" style="5" bestFit="1" customWidth="1"/>
    <col min="10" max="10" width="31.28515625" style="6"/>
    <col min="11" max="16384" width="31.28515625" style="3"/>
  </cols>
  <sheetData>
    <row r="1" spans="1:10">
      <c r="A1" s="1" t="s">
        <v>21</v>
      </c>
    </row>
    <row r="2" spans="1:10">
      <c r="A2" s="7" t="s">
        <v>168</v>
      </c>
      <c r="I2" s="8" t="s">
        <v>0</v>
      </c>
    </row>
    <row r="3" spans="1:10">
      <c r="A3" s="9" t="s">
        <v>22</v>
      </c>
      <c r="B3" s="10" t="s">
        <v>1</v>
      </c>
      <c r="C3" s="11">
        <f>F3/F4</f>
        <v>0.57112701773134866</v>
      </c>
      <c r="D3" s="12"/>
      <c r="E3" s="13" t="s">
        <v>23</v>
      </c>
      <c r="F3" s="67">
        <v>13082581</v>
      </c>
      <c r="G3" s="14"/>
      <c r="H3" s="15" t="s">
        <v>24</v>
      </c>
      <c r="I3" s="68">
        <f>F7+5522704</f>
        <v>16223964</v>
      </c>
    </row>
    <row r="4" spans="1:10">
      <c r="A4" s="16" t="s">
        <v>102</v>
      </c>
      <c r="B4" s="17" t="s">
        <v>100</v>
      </c>
      <c r="C4" s="18">
        <f>SUM(F5:F6)/F7</f>
        <v>1.2200681041297941</v>
      </c>
      <c r="D4" s="19"/>
      <c r="E4" s="16" t="s">
        <v>25</v>
      </c>
      <c r="F4" s="68">
        <v>22906605</v>
      </c>
      <c r="G4" s="21"/>
      <c r="H4" s="22" t="s">
        <v>26</v>
      </c>
      <c r="I4" s="20">
        <v>0</v>
      </c>
    </row>
    <row r="5" spans="1:10">
      <c r="A5" s="23" t="s">
        <v>27</v>
      </c>
      <c r="B5" s="24" t="s">
        <v>2</v>
      </c>
      <c r="C5" s="25">
        <f>F9/F10</f>
        <v>0.88000270853622398</v>
      </c>
      <c r="D5" s="19"/>
      <c r="E5" s="16" t="s">
        <v>104</v>
      </c>
      <c r="F5" s="68">
        <v>9824024</v>
      </c>
      <c r="G5" s="21"/>
      <c r="H5" s="22" t="s">
        <v>112</v>
      </c>
      <c r="I5" s="68">
        <f>14238280-F7-36484</f>
        <v>3500536</v>
      </c>
    </row>
    <row r="6" spans="1:10">
      <c r="A6" s="16" t="s">
        <v>28</v>
      </c>
      <c r="B6" s="17" t="s">
        <v>14</v>
      </c>
      <c r="C6" s="18">
        <f>(F9-F11-I38)/F10</f>
        <v>0.53100558265050568</v>
      </c>
      <c r="D6" s="19"/>
      <c r="E6" s="16" t="s">
        <v>101</v>
      </c>
      <c r="F6" s="68">
        <v>3232242</v>
      </c>
      <c r="G6" s="21"/>
      <c r="H6" s="22" t="s">
        <v>29</v>
      </c>
      <c r="I6" s="20">
        <f>F9-F10</f>
        <v>-1182014</v>
      </c>
    </row>
    <row r="7" spans="1:10">
      <c r="A7" s="16" t="s">
        <v>30</v>
      </c>
      <c r="B7" s="17" t="s">
        <v>3</v>
      </c>
      <c r="C7" s="26">
        <f>F13/F14</f>
        <v>16.296617144738466</v>
      </c>
      <c r="D7" s="27"/>
      <c r="E7" s="16" t="s">
        <v>109</v>
      </c>
      <c r="F7" s="68">
        <v>10701260</v>
      </c>
      <c r="G7" s="21"/>
      <c r="H7" s="22" t="s">
        <v>31</v>
      </c>
      <c r="I7" s="68">
        <f>I47</f>
        <v>7902523</v>
      </c>
    </row>
    <row r="8" spans="1:10">
      <c r="A8" s="23" t="s">
        <v>32</v>
      </c>
      <c r="B8" s="24" t="s">
        <v>18</v>
      </c>
      <c r="C8" s="29">
        <f>(F13+I39+I40)/F14</f>
        <v>32.174091526400261</v>
      </c>
      <c r="D8" s="27"/>
      <c r="E8" s="16" t="s">
        <v>121</v>
      </c>
      <c r="F8" s="20">
        <v>1166908</v>
      </c>
      <c r="G8" s="21"/>
      <c r="H8" s="22"/>
      <c r="I8" s="28"/>
    </row>
    <row r="9" spans="1:10">
      <c r="A9" s="16" t="s">
        <v>33</v>
      </c>
      <c r="B9" s="30" t="s">
        <v>180</v>
      </c>
      <c r="C9" s="31">
        <f>F18*4/3/(SUM(I12:I15)/2)</f>
        <v>4.4575142244753909</v>
      </c>
      <c r="D9" s="32"/>
      <c r="E9" s="16" t="s">
        <v>34</v>
      </c>
      <c r="F9" s="68">
        <v>8668325</v>
      </c>
      <c r="G9" s="21"/>
      <c r="H9" s="22" t="s">
        <v>35</v>
      </c>
      <c r="I9" s="68">
        <v>1472331</v>
      </c>
    </row>
    <row r="10" spans="1:10">
      <c r="A10" s="33" t="s">
        <v>36</v>
      </c>
      <c r="B10" s="17" t="s">
        <v>181</v>
      </c>
      <c r="C10" s="26">
        <f>365/C9</f>
        <v>81.884203082483083</v>
      </c>
      <c r="D10" s="34"/>
      <c r="E10" s="35" t="s">
        <v>37</v>
      </c>
      <c r="F10" s="68">
        <v>9850339</v>
      </c>
      <c r="G10" s="21"/>
      <c r="H10" s="22" t="s">
        <v>38</v>
      </c>
      <c r="I10" s="68">
        <f>F14</f>
        <v>97196</v>
      </c>
    </row>
    <row r="11" spans="1:10">
      <c r="A11" s="33" t="s">
        <v>39</v>
      </c>
      <c r="B11" s="30" t="s">
        <v>182</v>
      </c>
      <c r="C11" s="26">
        <f>I18*4/3/(SUM(I16+I17)/2)</f>
        <v>2.825105309</v>
      </c>
      <c r="D11" s="27"/>
      <c r="E11" s="16" t="s">
        <v>40</v>
      </c>
      <c r="F11" s="68">
        <v>3347596</v>
      </c>
      <c r="G11" s="21"/>
      <c r="H11" s="22" t="s">
        <v>41</v>
      </c>
      <c r="I11" s="68">
        <f>F13-F14</f>
        <v>1486770</v>
      </c>
    </row>
    <row r="12" spans="1:10">
      <c r="A12" s="16" t="s">
        <v>42</v>
      </c>
      <c r="B12" s="36" t="s">
        <v>183</v>
      </c>
      <c r="C12" s="37">
        <f>I18*4/3/(SUM(I27:I30)/2)</f>
        <v>5.9561954320072434</v>
      </c>
      <c r="D12" s="38"/>
      <c r="E12" s="16" t="s">
        <v>88</v>
      </c>
      <c r="F12" s="68">
        <v>310403</v>
      </c>
      <c r="G12" s="21"/>
      <c r="H12" s="22" t="s">
        <v>43</v>
      </c>
      <c r="I12" s="68">
        <v>270338</v>
      </c>
    </row>
    <row r="13" spans="1:10">
      <c r="A13" s="16" t="s">
        <v>44</v>
      </c>
      <c r="B13" s="30" t="s">
        <v>4</v>
      </c>
      <c r="C13" s="26">
        <f>365/C11</f>
        <v>129.19872361473091</v>
      </c>
      <c r="D13" s="34"/>
      <c r="E13" s="33" t="s">
        <v>87</v>
      </c>
      <c r="F13" s="68">
        <v>1583966</v>
      </c>
      <c r="G13" s="21"/>
      <c r="H13" s="39" t="s">
        <v>45</v>
      </c>
      <c r="I13" s="68">
        <v>3010926</v>
      </c>
      <c r="J13" s="83"/>
    </row>
    <row r="14" spans="1:10">
      <c r="A14" s="16" t="s">
        <v>103</v>
      </c>
      <c r="B14" s="40" t="s">
        <v>185</v>
      </c>
      <c r="C14" s="26">
        <f>F18*4/3/I23</f>
        <v>1.4202177415820927</v>
      </c>
      <c r="D14" s="27"/>
      <c r="E14" s="33" t="s">
        <v>46</v>
      </c>
      <c r="F14" s="68">
        <v>97196</v>
      </c>
      <c r="G14" s="21"/>
      <c r="H14" s="39" t="s">
        <v>47</v>
      </c>
      <c r="I14" s="68">
        <v>174374</v>
      </c>
    </row>
    <row r="15" spans="1:10">
      <c r="A15" s="16" t="s">
        <v>48</v>
      </c>
      <c r="B15" s="17" t="s">
        <v>184</v>
      </c>
      <c r="C15" s="26">
        <f>F18*4/3/F16</f>
        <v>0.6446370897018211</v>
      </c>
      <c r="D15" s="27"/>
      <c r="E15" s="16" t="s">
        <v>49</v>
      </c>
      <c r="F15" s="68">
        <v>1156062</v>
      </c>
      <c r="G15" s="21"/>
      <c r="H15" s="39" t="s">
        <v>50</v>
      </c>
      <c r="I15" s="68">
        <v>3076003</v>
      </c>
    </row>
    <row r="16" spans="1:10">
      <c r="A16" s="33" t="s">
        <v>51</v>
      </c>
      <c r="B16" s="17" t="s">
        <v>186</v>
      </c>
      <c r="C16" s="18">
        <f>(F15+I10*0.83)*4/3/F16</f>
        <v>7.3020620093266653E-2</v>
      </c>
      <c r="D16" s="19"/>
      <c r="E16" s="16" t="s">
        <v>52</v>
      </c>
      <c r="F16" s="68">
        <f>(F4+I22)/2</f>
        <v>22582382.5</v>
      </c>
      <c r="G16" s="21"/>
      <c r="H16" s="22" t="s">
        <v>53</v>
      </c>
      <c r="I16" s="68">
        <v>3664623</v>
      </c>
    </row>
    <row r="17" spans="1:9">
      <c r="A17" s="16" t="s">
        <v>54</v>
      </c>
      <c r="B17" s="17" t="s">
        <v>187</v>
      </c>
      <c r="C17" s="18">
        <f>F15*4/3/F17</f>
        <v>0.16106491917815111</v>
      </c>
      <c r="D17" s="19"/>
      <c r="E17" s="16" t="s">
        <v>55</v>
      </c>
      <c r="F17" s="68">
        <f>(F5+I21)/2</f>
        <v>9570153.5</v>
      </c>
      <c r="G17" s="21"/>
      <c r="H17" s="41" t="s">
        <v>56</v>
      </c>
      <c r="I17" s="68">
        <v>3701240</v>
      </c>
    </row>
    <row r="18" spans="1:9">
      <c r="A18" s="16" t="s">
        <v>57</v>
      </c>
      <c r="B18" s="30" t="s">
        <v>84</v>
      </c>
      <c r="C18" s="18">
        <f>I9/I19</f>
        <v>0.88792845581016111</v>
      </c>
      <c r="D18" s="19"/>
      <c r="E18" s="16" t="s">
        <v>58</v>
      </c>
      <c r="F18" s="68">
        <v>10918081</v>
      </c>
      <c r="G18" s="21"/>
      <c r="H18" s="22" t="s">
        <v>59</v>
      </c>
      <c r="I18" s="68">
        <v>7803502</v>
      </c>
    </row>
    <row r="19" spans="1:9">
      <c r="A19" s="16" t="s">
        <v>60</v>
      </c>
      <c r="B19" s="30" t="s">
        <v>85</v>
      </c>
      <c r="C19" s="18">
        <f>I11/I19</f>
        <v>0.89663627964423298</v>
      </c>
      <c r="D19" s="19"/>
      <c r="E19" s="16" t="s">
        <v>61</v>
      </c>
      <c r="F19" s="68">
        <v>165816</v>
      </c>
      <c r="G19" s="21"/>
      <c r="H19" s="22" t="s">
        <v>62</v>
      </c>
      <c r="I19" s="68">
        <v>1658164</v>
      </c>
    </row>
    <row r="20" spans="1:9">
      <c r="A20" s="16" t="s">
        <v>63</v>
      </c>
      <c r="B20" s="40" t="s">
        <v>5</v>
      </c>
      <c r="C20" s="18">
        <f>F15/F18</f>
        <v>0.10588509097890005</v>
      </c>
      <c r="D20" s="19"/>
      <c r="E20" s="16" t="s">
        <v>64</v>
      </c>
      <c r="F20" s="68">
        <v>2515171</v>
      </c>
      <c r="G20" s="21"/>
      <c r="H20" s="22" t="s">
        <v>105</v>
      </c>
      <c r="I20" s="68">
        <v>9799035</v>
      </c>
    </row>
    <row r="21" spans="1:9">
      <c r="A21" s="33" t="s">
        <v>65</v>
      </c>
      <c r="B21" s="17" t="s">
        <v>6</v>
      </c>
      <c r="C21" s="26">
        <f>F8/F19</f>
        <v>7.0373667197375402</v>
      </c>
      <c r="D21" s="27"/>
      <c r="E21" s="16" t="s">
        <v>66</v>
      </c>
      <c r="F21" s="20">
        <f>SUM(F22:F26)</f>
        <v>11656707</v>
      </c>
      <c r="G21" s="21"/>
      <c r="H21" s="22" t="s">
        <v>106</v>
      </c>
      <c r="I21" s="68">
        <v>9316283</v>
      </c>
    </row>
    <row r="22" spans="1:9">
      <c r="A22" s="16" t="s">
        <v>67</v>
      </c>
      <c r="B22" s="17" t="s">
        <v>188</v>
      </c>
      <c r="C22" s="18">
        <f>F20*4/3/F10</f>
        <v>0.34045136246918339</v>
      </c>
      <c r="D22" s="19"/>
      <c r="E22" s="35" t="s">
        <v>16</v>
      </c>
      <c r="F22" s="68">
        <v>1847345</v>
      </c>
      <c r="G22" s="21"/>
      <c r="H22" s="22" t="s">
        <v>68</v>
      </c>
      <c r="I22" s="68">
        <v>22258160</v>
      </c>
    </row>
    <row r="23" spans="1:9">
      <c r="A23" s="16" t="s">
        <v>69</v>
      </c>
      <c r="B23" s="17" t="s">
        <v>7</v>
      </c>
      <c r="C23" s="18">
        <f>F21/F27</f>
        <v>0.97521876462770796</v>
      </c>
      <c r="D23" s="19"/>
      <c r="E23" s="35" t="s">
        <v>19</v>
      </c>
      <c r="F23" s="68">
        <v>1713676</v>
      </c>
      <c r="G23" s="21"/>
      <c r="H23" s="22" t="s">
        <v>110</v>
      </c>
      <c r="I23" s="68">
        <f>(F7+I20)/2</f>
        <v>10250147.5</v>
      </c>
    </row>
    <row r="24" spans="1:9">
      <c r="A24" s="16" t="s">
        <v>70</v>
      </c>
      <c r="B24" s="17" t="s">
        <v>86</v>
      </c>
      <c r="C24" s="18">
        <f>(F20-I24)/SUM(I3:I6)</f>
        <v>9.9873609180559722E-2</v>
      </c>
      <c r="D24" s="19"/>
      <c r="E24" s="35" t="s">
        <v>89</v>
      </c>
      <c r="F24" s="68">
        <v>2890162</v>
      </c>
      <c r="G24" s="21"/>
      <c r="H24" s="22" t="s">
        <v>71</v>
      </c>
      <c r="I24" s="20">
        <f>F42</f>
        <v>663266</v>
      </c>
    </row>
    <row r="25" spans="1:9">
      <c r="A25" s="72" t="s">
        <v>113</v>
      </c>
      <c r="B25" s="73" t="s">
        <v>114</v>
      </c>
      <c r="C25" s="26">
        <f>(F18-I7)/I9</f>
        <v>2.0481522157721326</v>
      </c>
      <c r="D25" s="27"/>
      <c r="E25" s="35" t="s">
        <v>150</v>
      </c>
      <c r="F25" s="68">
        <v>2690353</v>
      </c>
      <c r="G25" s="21"/>
      <c r="H25" s="22" t="s">
        <v>73</v>
      </c>
      <c r="I25" s="68">
        <v>464839</v>
      </c>
    </row>
    <row r="26" spans="1:9">
      <c r="A26" s="16" t="s">
        <v>72</v>
      </c>
      <c r="B26" s="17" t="s">
        <v>8</v>
      </c>
      <c r="C26" s="26">
        <f>I9/(I9-I10)</f>
        <v>1.0706810604049783</v>
      </c>
      <c r="D26" s="27"/>
      <c r="E26" s="35" t="s">
        <v>179</v>
      </c>
      <c r="F26" s="68">
        <f>F20</f>
        <v>2515171</v>
      </c>
      <c r="G26" s="21"/>
      <c r="H26" s="22" t="s">
        <v>75</v>
      </c>
      <c r="I26" s="68">
        <v>0</v>
      </c>
    </row>
    <row r="27" spans="1:9">
      <c r="A27" s="16"/>
      <c r="B27" s="17"/>
      <c r="C27" s="43"/>
      <c r="D27" s="44"/>
      <c r="E27" s="33" t="s">
        <v>76</v>
      </c>
      <c r="F27" s="20">
        <f>SUM(F28:F42)</f>
        <v>11952915</v>
      </c>
      <c r="G27" s="21"/>
      <c r="H27" s="22" t="s">
        <v>77</v>
      </c>
      <c r="I27" s="68">
        <v>883263</v>
      </c>
    </row>
    <row r="28" spans="1:9">
      <c r="A28" s="16"/>
      <c r="B28" s="17"/>
      <c r="C28" s="43"/>
      <c r="D28" s="44"/>
      <c r="E28" s="35" t="s">
        <v>152</v>
      </c>
      <c r="F28" s="69">
        <v>2268581</v>
      </c>
      <c r="G28" s="45"/>
      <c r="H28" s="22" t="s">
        <v>78</v>
      </c>
      <c r="I28" s="68">
        <v>733487</v>
      </c>
    </row>
    <row r="29" spans="1:9">
      <c r="A29" s="16"/>
      <c r="B29" s="17"/>
      <c r="C29" s="43"/>
      <c r="D29" s="44"/>
      <c r="E29" s="35" t="s">
        <v>19</v>
      </c>
      <c r="F29" s="69">
        <v>2223192</v>
      </c>
      <c r="G29" s="21"/>
      <c r="H29" s="22" t="s">
        <v>79</v>
      </c>
      <c r="I29" s="68">
        <v>1078152</v>
      </c>
    </row>
    <row r="30" spans="1:9">
      <c r="A30" s="16"/>
      <c r="B30" s="17"/>
      <c r="C30" s="43"/>
      <c r="D30" s="44"/>
      <c r="E30" s="35" t="s">
        <v>89</v>
      </c>
      <c r="F30" s="69">
        <v>805317</v>
      </c>
      <c r="G30" s="21"/>
      <c r="H30" s="22" t="s">
        <v>80</v>
      </c>
      <c r="I30" s="68">
        <v>798828</v>
      </c>
    </row>
    <row r="31" spans="1:9">
      <c r="A31" s="291" t="s">
        <v>9</v>
      </c>
      <c r="B31" s="292"/>
      <c r="C31" s="293"/>
      <c r="D31" s="46"/>
      <c r="E31" s="35" t="s">
        <v>153</v>
      </c>
      <c r="F31" s="69">
        <v>1925667</v>
      </c>
      <c r="G31" s="21"/>
      <c r="H31" s="74"/>
      <c r="I31" s="75"/>
    </row>
    <row r="32" spans="1:9">
      <c r="A32" s="48" t="s">
        <v>10</v>
      </c>
      <c r="B32" s="30"/>
      <c r="C32" s="49"/>
      <c r="D32" s="19"/>
      <c r="E32" s="35" t="s">
        <v>154</v>
      </c>
      <c r="F32" s="69">
        <f>I25+I26</f>
        <v>464839</v>
      </c>
      <c r="G32" s="45"/>
      <c r="H32" s="74"/>
      <c r="I32" s="75"/>
    </row>
    <row r="33" spans="1:9">
      <c r="A33" s="50" t="s">
        <v>11</v>
      </c>
      <c r="B33" s="51"/>
      <c r="C33" s="49"/>
      <c r="D33" s="19"/>
      <c r="E33" s="35" t="s">
        <v>156</v>
      </c>
      <c r="F33" s="68">
        <v>698218</v>
      </c>
      <c r="G33" s="21"/>
      <c r="H33" s="74"/>
      <c r="I33" s="75"/>
    </row>
    <row r="34" spans="1:9">
      <c r="A34" s="52" t="s">
        <v>12</v>
      </c>
      <c r="B34" s="51"/>
      <c r="C34" s="49"/>
      <c r="D34" s="19"/>
      <c r="E34" s="35" t="s">
        <v>19</v>
      </c>
      <c r="F34" s="68">
        <v>205576</v>
      </c>
      <c r="G34" s="21"/>
      <c r="H34" s="41"/>
      <c r="I34" s="47"/>
    </row>
    <row r="35" spans="1:9">
      <c r="A35" s="53" t="s">
        <v>13</v>
      </c>
      <c r="B35" s="30"/>
      <c r="C35" s="49"/>
      <c r="D35" s="19"/>
      <c r="E35" s="35" t="s">
        <v>89</v>
      </c>
      <c r="F35" s="68">
        <v>99630</v>
      </c>
      <c r="G35" s="21"/>
      <c r="H35" s="41"/>
      <c r="I35" s="47"/>
    </row>
    <row r="36" spans="1:9">
      <c r="A36" s="16"/>
      <c r="B36" s="30"/>
      <c r="C36" s="49"/>
      <c r="D36" s="19"/>
      <c r="E36" s="35" t="s">
        <v>153</v>
      </c>
      <c r="F36" s="68">
        <v>611393</v>
      </c>
      <c r="G36" s="21"/>
      <c r="H36" s="41" t="s">
        <v>81</v>
      </c>
      <c r="I36" s="47">
        <f>SUM(I32:I35)</f>
        <v>0</v>
      </c>
    </row>
    <row r="37" spans="1:9">
      <c r="A37" s="16"/>
      <c r="B37" s="30"/>
      <c r="C37" s="49"/>
      <c r="D37" s="19"/>
      <c r="E37" s="35" t="s">
        <v>178</v>
      </c>
      <c r="F37" s="68">
        <v>30603</v>
      </c>
      <c r="G37" s="21"/>
      <c r="H37" s="22"/>
      <c r="I37" s="47"/>
    </row>
    <row r="38" spans="1:9">
      <c r="A38" s="16"/>
      <c r="B38" s="30"/>
      <c r="C38" s="49"/>
      <c r="D38" s="19"/>
      <c r="E38" s="35" t="s">
        <v>157</v>
      </c>
      <c r="F38" s="68">
        <v>630102</v>
      </c>
      <c r="G38" s="54"/>
      <c r="H38" s="22" t="s">
        <v>82</v>
      </c>
      <c r="I38" s="69">
        <v>90144</v>
      </c>
    </row>
    <row r="39" spans="1:9">
      <c r="A39" s="16"/>
      <c r="B39" s="30"/>
      <c r="C39" s="49"/>
      <c r="D39" s="19"/>
      <c r="E39" s="35" t="s">
        <v>19</v>
      </c>
      <c r="F39" s="71">
        <v>663266</v>
      </c>
      <c r="G39" s="45"/>
      <c r="H39" s="22" t="s">
        <v>120</v>
      </c>
      <c r="I39" s="69">
        <v>1527362</v>
      </c>
    </row>
    <row r="40" spans="1:9">
      <c r="A40" s="16"/>
      <c r="B40" s="30"/>
      <c r="C40" s="49"/>
      <c r="D40" s="19"/>
      <c r="E40" s="35" t="s">
        <v>89</v>
      </c>
      <c r="F40" s="69">
        <v>165816</v>
      </c>
      <c r="G40" s="45"/>
      <c r="H40" s="22" t="s">
        <v>17</v>
      </c>
      <c r="I40" s="69">
        <v>15865</v>
      </c>
    </row>
    <row r="41" spans="1:9">
      <c r="A41" s="16"/>
      <c r="B41" s="30"/>
      <c r="C41" s="49"/>
      <c r="D41" s="19"/>
      <c r="E41" s="35" t="s">
        <v>150</v>
      </c>
      <c r="F41" s="69">
        <v>497449</v>
      </c>
      <c r="G41" s="55"/>
      <c r="H41" s="56"/>
      <c r="I41" s="57"/>
    </row>
    <row r="42" spans="1:9">
      <c r="A42" s="58"/>
      <c r="B42" s="59"/>
      <c r="C42" s="60"/>
      <c r="D42" s="61"/>
      <c r="E42" s="35" t="s">
        <v>178</v>
      </c>
      <c r="F42" s="70">
        <v>663266</v>
      </c>
      <c r="G42" s="62"/>
    </row>
    <row r="43" spans="1:9">
      <c r="F43" s="5"/>
      <c r="G43" s="5"/>
      <c r="H43" s="3" t="s">
        <v>115</v>
      </c>
    </row>
    <row r="44" spans="1:9">
      <c r="E44" s="63"/>
      <c r="F44" s="5"/>
      <c r="G44" s="5"/>
      <c r="H44" s="3" t="s">
        <v>116</v>
      </c>
      <c r="I44" s="5">
        <f>I18</f>
        <v>7803502</v>
      </c>
    </row>
    <row r="45" spans="1:9">
      <c r="E45" s="63"/>
      <c r="F45" s="5"/>
      <c r="G45" s="5"/>
      <c r="H45" s="3" t="s">
        <v>117</v>
      </c>
      <c r="I45" s="5">
        <v>1642248</v>
      </c>
    </row>
    <row r="46" spans="1:9">
      <c r="E46" s="63"/>
      <c r="F46" s="5"/>
      <c r="G46" s="5"/>
      <c r="H46" s="3" t="s">
        <v>118</v>
      </c>
      <c r="I46" s="5">
        <f>I39+I40</f>
        <v>1543227</v>
      </c>
    </row>
    <row r="47" spans="1:9" ht="15" thickBot="1">
      <c r="E47" s="63"/>
      <c r="F47" s="5"/>
      <c r="G47" s="5"/>
      <c r="H47" s="3" t="s">
        <v>119</v>
      </c>
      <c r="I47" s="76">
        <f>I44+I45-I46</f>
        <v>7902523</v>
      </c>
    </row>
    <row r="48" spans="1:9" ht="15" thickTop="1">
      <c r="E48" s="63"/>
      <c r="F48" s="5"/>
      <c r="G48" s="5"/>
    </row>
    <row r="59" spans="2:2">
      <c r="B59" s="64"/>
    </row>
    <row r="60" spans="2:2">
      <c r="B60" s="65"/>
    </row>
    <row r="61" spans="2:2">
      <c r="B61" s="64"/>
    </row>
  </sheetData>
  <mergeCells count="1">
    <mergeCell ref="A31:C31"/>
  </mergeCells>
  <phoneticPr fontId="3" type="noConversion"/>
  <printOptions horizontalCentered="1"/>
  <pageMargins left="0.39370078740157483" right="0" top="1.1811023622047245" bottom="0.47244094488188981" header="0.59055118110236227" footer="0.15748031496062992"/>
  <pageSetup paperSize="9" scale="78" orientation="landscape" r:id="rId1"/>
  <headerFooter alignWithMargins="0">
    <oddHeader>&amp;L
帝寶101Q2財務比率(合併)&amp;RPreparer: DY 2012/8/17
Reviewer: KAY 2012/8/20 CH 2012/8/20 AMMY 2012/8/20
2320-2: &amp;P/&amp;N</oddHeader>
    <oddFooter>&amp;L帝寶工業股份有限公司 
Period End: 2012/6/30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L61"/>
  <sheetViews>
    <sheetView zoomScale="120" zoomScaleNormal="120" zoomScaleSheetLayoutView="100" workbookViewId="0">
      <pane ySplit="2" topLeftCell="A12" activePane="bottomLeft" state="frozen"/>
      <selection activeCell="A30" sqref="A30"/>
      <selection pane="bottomLeft" activeCell="F20" sqref="F20 F10"/>
    </sheetView>
  </sheetViews>
  <sheetFormatPr defaultColWidth="31.28515625" defaultRowHeight="14.25"/>
  <cols>
    <col min="1" max="1" width="34" style="3" customWidth="1"/>
    <col min="2" max="2" width="23.140625" style="1" bestFit="1" customWidth="1"/>
    <col min="3" max="3" width="8.7109375" style="2" bestFit="1" customWidth="1"/>
    <col min="4" max="4" width="2.5703125" style="2" customWidth="1"/>
    <col min="5" max="5" width="32.28515625" style="3" customWidth="1"/>
    <col min="6" max="6" width="13" style="4" bestFit="1" customWidth="1"/>
    <col min="7" max="7" width="1" style="4" customWidth="1"/>
    <col min="8" max="8" width="36.85546875" style="3" customWidth="1"/>
    <col min="9" max="9" width="13" style="5" bestFit="1" customWidth="1"/>
    <col min="10" max="10" width="31.28515625" style="6"/>
    <col min="11" max="12" width="8.7109375" style="2" bestFit="1" customWidth="1"/>
    <col min="13" max="16384" width="31.28515625" style="3"/>
  </cols>
  <sheetData>
    <row r="1" spans="1:12">
      <c r="A1" s="1" t="s">
        <v>21</v>
      </c>
    </row>
    <row r="2" spans="1:12">
      <c r="A2" s="7" t="s">
        <v>168</v>
      </c>
      <c r="I2" s="8" t="s">
        <v>0</v>
      </c>
    </row>
    <row r="3" spans="1:12">
      <c r="A3" s="9" t="s">
        <v>22</v>
      </c>
      <c r="B3" s="10" t="s">
        <v>1</v>
      </c>
      <c r="C3" s="11">
        <f>F3/F4</f>
        <v>0.58616329929401501</v>
      </c>
      <c r="D3" s="12"/>
      <c r="E3" s="13" t="s">
        <v>23</v>
      </c>
      <c r="F3" s="67">
        <v>13304945</v>
      </c>
      <c r="G3" s="14"/>
      <c r="H3" s="15" t="s">
        <v>24</v>
      </c>
      <c r="I3" s="68">
        <f>F7+5428161</f>
        <v>16112656</v>
      </c>
      <c r="K3" s="11">
        <v>0.59016196378942198</v>
      </c>
      <c r="L3" s="11">
        <f>C3-K3</f>
        <v>-3.9986644954069783E-3</v>
      </c>
    </row>
    <row r="4" spans="1:12">
      <c r="A4" s="16" t="s">
        <v>102</v>
      </c>
      <c r="B4" s="17" t="s">
        <v>100</v>
      </c>
      <c r="C4" s="18">
        <f>SUM(F5:F6)/F7</f>
        <v>1.1717587962744145</v>
      </c>
      <c r="D4" s="19"/>
      <c r="E4" s="16" t="s">
        <v>25</v>
      </c>
      <c r="F4" s="68">
        <v>22698359</v>
      </c>
      <c r="G4" s="21"/>
      <c r="H4" s="22" t="s">
        <v>26</v>
      </c>
      <c r="I4" s="20">
        <v>0</v>
      </c>
      <c r="K4" s="18">
        <v>1.2489724628634415</v>
      </c>
      <c r="L4" s="18">
        <f t="shared" ref="L4:L24" si="0">C4-K4</f>
        <v>-7.7213666589027063E-2</v>
      </c>
    </row>
    <row r="5" spans="1:12">
      <c r="A5" s="23" t="s">
        <v>27</v>
      </c>
      <c r="B5" s="24" t="s">
        <v>2</v>
      </c>
      <c r="C5" s="25">
        <f>F9/F10</f>
        <v>0.85990206222636512</v>
      </c>
      <c r="D5" s="19"/>
      <c r="E5" s="16" t="s">
        <v>104</v>
      </c>
      <c r="F5" s="68">
        <v>9393414</v>
      </c>
      <c r="G5" s="21"/>
      <c r="H5" s="22" t="s">
        <v>112</v>
      </c>
      <c r="I5" s="68">
        <f>13945667-F7-32734</f>
        <v>3228438</v>
      </c>
      <c r="K5" s="25">
        <v>1.2765880098049001</v>
      </c>
      <c r="L5" s="25">
        <f t="shared" si="0"/>
        <v>-0.41668594757853494</v>
      </c>
    </row>
    <row r="6" spans="1:12">
      <c r="A6" s="16" t="s">
        <v>28</v>
      </c>
      <c r="B6" s="17" t="s">
        <v>14</v>
      </c>
      <c r="C6" s="18">
        <f>(F9-F11-I38)/F10</f>
        <v>0.52651083025468459</v>
      </c>
      <c r="D6" s="19"/>
      <c r="E6" s="16" t="s">
        <v>101</v>
      </c>
      <c r="F6" s="68">
        <v>3126237</v>
      </c>
      <c r="G6" s="21"/>
      <c r="H6" s="22" t="s">
        <v>29</v>
      </c>
      <c r="I6" s="20">
        <f>F9-F10</f>
        <v>-1426016</v>
      </c>
      <c r="K6" s="18">
        <v>0.7876312098969267</v>
      </c>
      <c r="L6" s="18">
        <f t="shared" si="0"/>
        <v>-0.26112037964224211</v>
      </c>
    </row>
    <row r="7" spans="1:12">
      <c r="A7" s="16" t="s">
        <v>30</v>
      </c>
      <c r="B7" s="17" t="s">
        <v>3</v>
      </c>
      <c r="C7" s="26">
        <f>F13/F14</f>
        <v>16.030974448333357</v>
      </c>
      <c r="D7" s="27"/>
      <c r="E7" s="16" t="s">
        <v>109</v>
      </c>
      <c r="F7" s="68">
        <v>10684495</v>
      </c>
      <c r="G7" s="21"/>
      <c r="H7" s="22" t="s">
        <v>31</v>
      </c>
      <c r="I7" s="68">
        <f>I47</f>
        <v>5303584</v>
      </c>
      <c r="K7" s="26">
        <v>-5.2465996179604613</v>
      </c>
      <c r="L7" s="26">
        <f t="shared" si="0"/>
        <v>21.277574066293816</v>
      </c>
    </row>
    <row r="8" spans="1:12">
      <c r="A8" s="23" t="s">
        <v>32</v>
      </c>
      <c r="B8" s="24" t="s">
        <v>18</v>
      </c>
      <c r="C8" s="29">
        <f>(F13+I39+I40)/F14</f>
        <v>31.897012212524974</v>
      </c>
      <c r="D8" s="27"/>
      <c r="E8" s="16" t="s">
        <v>121</v>
      </c>
      <c r="F8" s="20">
        <v>762017</v>
      </c>
      <c r="G8" s="21"/>
      <c r="H8" s="22"/>
      <c r="I8" s="28"/>
      <c r="K8" s="29">
        <v>15.433143080711606</v>
      </c>
      <c r="L8" s="29">
        <f t="shared" si="0"/>
        <v>16.463869131813368</v>
      </c>
    </row>
    <row r="9" spans="1:12">
      <c r="A9" s="16" t="s">
        <v>33</v>
      </c>
      <c r="B9" s="30" t="s">
        <v>169</v>
      </c>
      <c r="C9" s="31">
        <f>F18*2/(SUM(I12:I15)/2)</f>
        <v>4.4463377937566113</v>
      </c>
      <c r="D9" s="32"/>
      <c r="E9" s="16" t="s">
        <v>34</v>
      </c>
      <c r="F9" s="68">
        <v>8752692</v>
      </c>
      <c r="G9" s="21"/>
      <c r="H9" s="22" t="s">
        <v>35</v>
      </c>
      <c r="I9" s="68">
        <v>1029041</v>
      </c>
      <c r="K9" s="31">
        <v>4.6767890640311336</v>
      </c>
      <c r="L9" s="31">
        <f>C9-K9</f>
        <v>-0.23045127027452228</v>
      </c>
    </row>
    <row r="10" spans="1:12">
      <c r="A10" s="33" t="s">
        <v>36</v>
      </c>
      <c r="B10" s="17" t="s">
        <v>129</v>
      </c>
      <c r="C10" s="26">
        <f>365/C9</f>
        <v>82.090029352362734</v>
      </c>
      <c r="D10" s="34"/>
      <c r="E10" s="35" t="s">
        <v>37</v>
      </c>
      <c r="F10" s="68">
        <v>10178708</v>
      </c>
      <c r="G10" s="21"/>
      <c r="H10" s="22" t="s">
        <v>38</v>
      </c>
      <c r="I10" s="68">
        <f>F14</f>
        <v>66571</v>
      </c>
      <c r="K10" s="26">
        <v>78.044999464951317</v>
      </c>
      <c r="L10" s="26">
        <f t="shared" si="0"/>
        <v>4.0450298874114168</v>
      </c>
    </row>
    <row r="11" spans="1:12">
      <c r="A11" s="33" t="s">
        <v>39</v>
      </c>
      <c r="B11" s="30" t="s">
        <v>170</v>
      </c>
      <c r="C11" s="26">
        <f>I18*2/(SUM(I16+I17)/2)</f>
        <v>2.8740467871894757</v>
      </c>
      <c r="D11" s="27"/>
      <c r="E11" s="16" t="s">
        <v>40</v>
      </c>
      <c r="F11" s="68">
        <v>3311555</v>
      </c>
      <c r="G11" s="21"/>
      <c r="H11" s="22" t="s">
        <v>41</v>
      </c>
      <c r="I11" s="68">
        <f>F13-F14</f>
        <v>1000627</v>
      </c>
      <c r="K11" s="26">
        <v>2.9937714403313924</v>
      </c>
      <c r="L11" s="26">
        <f t="shared" si="0"/>
        <v>-0.11972465314191671</v>
      </c>
    </row>
    <row r="12" spans="1:12">
      <c r="A12" s="16" t="s">
        <v>42</v>
      </c>
      <c r="B12" s="36" t="s">
        <v>171</v>
      </c>
      <c r="C12" s="37">
        <f>I18*2/(SUM(I27:I30)/2)</f>
        <v>5.8358967216466873</v>
      </c>
      <c r="D12" s="38"/>
      <c r="E12" s="16" t="s">
        <v>88</v>
      </c>
      <c r="F12" s="68">
        <v>229538</v>
      </c>
      <c r="G12" s="21"/>
      <c r="H12" s="22" t="s">
        <v>43</v>
      </c>
      <c r="I12" s="68">
        <v>270338</v>
      </c>
      <c r="K12" s="37">
        <v>5.7242227594407815</v>
      </c>
      <c r="L12" s="37">
        <f t="shared" si="0"/>
        <v>0.11167396220590575</v>
      </c>
    </row>
    <row r="13" spans="1:12">
      <c r="A13" s="16" t="s">
        <v>44</v>
      </c>
      <c r="B13" s="30" t="s">
        <v>4</v>
      </c>
      <c r="C13" s="26">
        <f>365/C11</f>
        <v>126.99862842418537</v>
      </c>
      <c r="D13" s="34"/>
      <c r="E13" s="33" t="s">
        <v>87</v>
      </c>
      <c r="F13" s="68">
        <v>1067198</v>
      </c>
      <c r="G13" s="21"/>
      <c r="H13" s="39" t="s">
        <v>45</v>
      </c>
      <c r="I13" s="68">
        <v>3010926</v>
      </c>
      <c r="K13" s="26">
        <v>121.91979490578503</v>
      </c>
      <c r="L13" s="26">
        <f t="shared" si="0"/>
        <v>5.0788335184003444</v>
      </c>
    </row>
    <row r="14" spans="1:12">
      <c r="A14" s="16" t="s">
        <v>103</v>
      </c>
      <c r="B14" s="40" t="s">
        <v>172</v>
      </c>
      <c r="C14" s="26">
        <f>F18*2/I23</f>
        <v>1.4428846980964707</v>
      </c>
      <c r="D14" s="27"/>
      <c r="E14" s="33" t="s">
        <v>46</v>
      </c>
      <c r="F14" s="68">
        <v>66571</v>
      </c>
      <c r="G14" s="21"/>
      <c r="H14" s="39" t="s">
        <v>47</v>
      </c>
      <c r="I14" s="68">
        <v>167029</v>
      </c>
      <c r="K14" s="26">
        <v>1.2150060780898926</v>
      </c>
      <c r="L14" s="26">
        <f t="shared" si="0"/>
        <v>0.2278786200065781</v>
      </c>
    </row>
    <row r="15" spans="1:12">
      <c r="A15" s="16" t="s">
        <v>48</v>
      </c>
      <c r="B15" s="17" t="s">
        <v>173</v>
      </c>
      <c r="C15" s="26">
        <f>F18*2/F16</f>
        <v>0.65742127409820139</v>
      </c>
      <c r="D15" s="27"/>
      <c r="E15" s="16" t="s">
        <v>49</v>
      </c>
      <c r="F15" s="68">
        <v>755260</v>
      </c>
      <c r="G15" s="21"/>
      <c r="H15" s="39" t="s">
        <v>50</v>
      </c>
      <c r="I15" s="68">
        <v>3198834</v>
      </c>
      <c r="K15" s="26">
        <v>0.65745562973445326</v>
      </c>
      <c r="L15" s="26">
        <f t="shared" si="0"/>
        <v>-3.4355636251870436E-5</v>
      </c>
    </row>
    <row r="16" spans="1:12">
      <c r="A16" s="33" t="s">
        <v>51</v>
      </c>
      <c r="B16" s="17" t="s">
        <v>174</v>
      </c>
      <c r="C16" s="18">
        <f>(F15+I10*0.83)*2/F16</f>
        <v>7.2115363736235893E-2</v>
      </c>
      <c r="D16" s="19"/>
      <c r="E16" s="16" t="s">
        <v>52</v>
      </c>
      <c r="F16" s="68">
        <f>(F4+I22)/2</f>
        <v>22478259.5</v>
      </c>
      <c r="G16" s="21"/>
      <c r="H16" s="22" t="s">
        <v>53</v>
      </c>
      <c r="I16" s="68">
        <v>3664622</v>
      </c>
      <c r="K16" s="18">
        <v>-1.8047453480236827E-2</v>
      </c>
      <c r="L16" s="18">
        <f t="shared" si="0"/>
        <v>9.0162817216472721E-2</v>
      </c>
    </row>
    <row r="17" spans="1:12">
      <c r="A17" s="16" t="s">
        <v>54</v>
      </c>
      <c r="B17" s="17" t="s">
        <v>175</v>
      </c>
      <c r="C17" s="18">
        <f>F15*2/F17</f>
        <v>0.16146921032446437</v>
      </c>
      <c r="D17" s="19"/>
      <c r="E17" s="16" t="s">
        <v>55</v>
      </c>
      <c r="F17" s="68">
        <f>(F5+I21)/2</f>
        <v>9354848.5</v>
      </c>
      <c r="G17" s="21"/>
      <c r="H17" s="41" t="s">
        <v>56</v>
      </c>
      <c r="I17" s="28">
        <v>3654048</v>
      </c>
      <c r="K17" s="18">
        <v>-4.9121452930691832E-2</v>
      </c>
      <c r="L17" s="18">
        <f t="shared" si="0"/>
        <v>0.21059066325515621</v>
      </c>
    </row>
    <row r="18" spans="1:12">
      <c r="A18" s="16" t="s">
        <v>57</v>
      </c>
      <c r="B18" s="30" t="s">
        <v>84</v>
      </c>
      <c r="C18" s="18">
        <f>I9/I19</f>
        <v>0.62059060503062424</v>
      </c>
      <c r="D18" s="19"/>
      <c r="E18" s="16" t="s">
        <v>58</v>
      </c>
      <c r="F18" s="68">
        <v>7388843</v>
      </c>
      <c r="G18" s="21"/>
      <c r="H18" s="22" t="s">
        <v>59</v>
      </c>
      <c r="I18" s="68">
        <v>5258550</v>
      </c>
      <c r="K18" s="18">
        <v>0.82572712952397953</v>
      </c>
      <c r="L18" s="18">
        <f t="shared" si="0"/>
        <v>-0.20513652449335529</v>
      </c>
    </row>
    <row r="19" spans="1:12">
      <c r="A19" s="16" t="s">
        <v>60</v>
      </c>
      <c r="B19" s="30" t="s">
        <v>85</v>
      </c>
      <c r="C19" s="18">
        <f>I11/I19</f>
        <v>0.60345478493080296</v>
      </c>
      <c r="D19" s="19"/>
      <c r="E19" s="16" t="s">
        <v>61</v>
      </c>
      <c r="F19" s="68">
        <v>165816</v>
      </c>
      <c r="G19" s="21"/>
      <c r="H19" s="22" t="s">
        <v>62</v>
      </c>
      <c r="I19" s="68">
        <v>1658164</v>
      </c>
      <c r="K19" s="18">
        <v>-0.32737533802446561</v>
      </c>
      <c r="L19" s="18">
        <f t="shared" si="0"/>
        <v>0.93083012295526857</v>
      </c>
    </row>
    <row r="20" spans="1:12">
      <c r="A20" s="16" t="s">
        <v>63</v>
      </c>
      <c r="B20" s="40" t="s">
        <v>5</v>
      </c>
      <c r="C20" s="18">
        <f>F15/F18</f>
        <v>0.1022162739146034</v>
      </c>
      <c r="D20" s="19"/>
      <c r="E20" s="16" t="s">
        <v>64</v>
      </c>
      <c r="F20" s="68">
        <v>1693899</v>
      </c>
      <c r="G20" s="21"/>
      <c r="H20" s="22" t="s">
        <v>105</v>
      </c>
      <c r="I20" s="68">
        <v>9799035</v>
      </c>
      <c r="K20" s="18">
        <v>-3.2480406700189729E-2</v>
      </c>
      <c r="L20" s="18">
        <f t="shared" si="0"/>
        <v>0.13469668061479312</v>
      </c>
    </row>
    <row r="21" spans="1:12">
      <c r="A21" s="33" t="s">
        <v>65</v>
      </c>
      <c r="B21" s="17" t="s">
        <v>6</v>
      </c>
      <c r="C21" s="26">
        <f>F8/F19</f>
        <v>4.5955577266367538</v>
      </c>
      <c r="D21" s="27"/>
      <c r="E21" s="16" t="s">
        <v>66</v>
      </c>
      <c r="F21" s="20">
        <f>SUM(F22:F26)</f>
        <v>10835435</v>
      </c>
      <c r="G21" s="21"/>
      <c r="H21" s="22" t="s">
        <v>106</v>
      </c>
      <c r="I21" s="68">
        <v>9316283</v>
      </c>
      <c r="K21" s="26">
        <v>-2.3558643315482222</v>
      </c>
      <c r="L21" s="26">
        <f t="shared" si="0"/>
        <v>6.9514220581849759</v>
      </c>
    </row>
    <row r="22" spans="1:12">
      <c r="A22" s="16" t="s">
        <v>67</v>
      </c>
      <c r="B22" s="17" t="s">
        <v>176</v>
      </c>
      <c r="C22" s="18">
        <f>F20*2/F10</f>
        <v>0.33283182895117924</v>
      </c>
      <c r="D22" s="19"/>
      <c r="E22" s="35" t="s">
        <v>16</v>
      </c>
      <c r="F22" s="68">
        <v>1847345</v>
      </c>
      <c r="G22" s="21"/>
      <c r="H22" s="22" t="s">
        <v>68</v>
      </c>
      <c r="I22" s="68">
        <v>22258160</v>
      </c>
      <c r="K22" s="18">
        <v>0.28989685908247381</v>
      </c>
      <c r="L22" s="18">
        <f t="shared" si="0"/>
        <v>4.293496986870543E-2</v>
      </c>
    </row>
    <row r="23" spans="1:12">
      <c r="A23" s="16" t="s">
        <v>69</v>
      </c>
      <c r="B23" s="17" t="s">
        <v>7</v>
      </c>
      <c r="C23" s="18">
        <f>F21/F27</f>
        <v>0.9727895602638017</v>
      </c>
      <c r="D23" s="19"/>
      <c r="E23" s="35" t="s">
        <v>19</v>
      </c>
      <c r="F23" s="68">
        <v>1713676</v>
      </c>
      <c r="G23" s="21"/>
      <c r="H23" s="22" t="s">
        <v>110</v>
      </c>
      <c r="I23" s="68">
        <f>(F7+I20)/2</f>
        <v>10241765</v>
      </c>
      <c r="K23" s="18">
        <v>0.64955719071380458</v>
      </c>
      <c r="L23" s="18">
        <f t="shared" si="0"/>
        <v>0.32323236954999712</v>
      </c>
    </row>
    <row r="24" spans="1:12">
      <c r="A24" s="16" t="s">
        <v>70</v>
      </c>
      <c r="B24" s="17" t="s">
        <v>86</v>
      </c>
      <c r="C24" s="18">
        <f>(F20-I24)/SUM(I3:I6)</f>
        <v>9.455158386695274E-2</v>
      </c>
      <c r="D24" s="19"/>
      <c r="E24" s="35" t="s">
        <v>89</v>
      </c>
      <c r="F24" s="68">
        <v>2890162</v>
      </c>
      <c r="G24" s="21"/>
      <c r="H24" s="22" t="s">
        <v>71</v>
      </c>
      <c r="I24" s="20">
        <f>F42</f>
        <v>0</v>
      </c>
      <c r="K24" s="18">
        <v>4.762271561960784E-2</v>
      </c>
      <c r="L24" s="18">
        <f t="shared" si="0"/>
        <v>4.69288682473449E-2</v>
      </c>
    </row>
    <row r="25" spans="1:12">
      <c r="A25" s="72" t="s">
        <v>113</v>
      </c>
      <c r="B25" s="73" t="s">
        <v>114</v>
      </c>
      <c r="C25" s="26">
        <f>(F18-I7)/I9</f>
        <v>2.0264100264226594</v>
      </c>
      <c r="D25" s="27"/>
      <c r="E25" s="35" t="s">
        <v>150</v>
      </c>
      <c r="F25" s="68">
        <v>2690353</v>
      </c>
      <c r="G25" s="21"/>
      <c r="H25" s="22" t="s">
        <v>73</v>
      </c>
      <c r="I25" s="68">
        <v>344312</v>
      </c>
      <c r="K25" s="26">
        <v>1.0677709939023106</v>
      </c>
      <c r="L25" s="26">
        <f>C26-K25</f>
        <v>1.3958372716480483E-3</v>
      </c>
    </row>
    <row r="26" spans="1:12">
      <c r="A26" s="16" t="s">
        <v>72</v>
      </c>
      <c r="B26" s="17" t="s">
        <v>8</v>
      </c>
      <c r="C26" s="26">
        <f>I9/(I9-I10)</f>
        <v>1.0691668311739586</v>
      </c>
      <c r="D26" s="27"/>
      <c r="E26" s="35" t="s">
        <v>177</v>
      </c>
      <c r="F26" s="68">
        <f>F20</f>
        <v>1693899</v>
      </c>
      <c r="G26" s="21"/>
      <c r="H26" s="22" t="s">
        <v>75</v>
      </c>
      <c r="I26" s="82">
        <v>0</v>
      </c>
      <c r="K26" s="42"/>
      <c r="L26" s="42"/>
    </row>
    <row r="27" spans="1:12">
      <c r="A27" s="16"/>
      <c r="B27" s="17"/>
      <c r="C27" s="43"/>
      <c r="D27" s="44"/>
      <c r="E27" s="33" t="s">
        <v>76</v>
      </c>
      <c r="F27" s="20">
        <f>SUM(F28:F42)</f>
        <v>11138519</v>
      </c>
      <c r="G27" s="21"/>
      <c r="H27" s="22" t="s">
        <v>77</v>
      </c>
      <c r="I27" s="68">
        <v>883263</v>
      </c>
      <c r="K27" s="43"/>
      <c r="L27" s="43"/>
    </row>
    <row r="28" spans="1:12">
      <c r="A28" s="16"/>
      <c r="B28" s="17"/>
      <c r="C28" s="43"/>
      <c r="D28" s="44"/>
      <c r="E28" s="35" t="s">
        <v>152</v>
      </c>
      <c r="F28" s="69">
        <v>2268581</v>
      </c>
      <c r="G28" s="45"/>
      <c r="H28" s="22" t="s">
        <v>78</v>
      </c>
      <c r="I28" s="68">
        <v>733487</v>
      </c>
      <c r="K28" s="43"/>
      <c r="L28" s="43"/>
    </row>
    <row r="29" spans="1:12">
      <c r="A29" s="16"/>
      <c r="B29" s="17"/>
      <c r="C29" s="43"/>
      <c r="D29" s="44"/>
      <c r="E29" s="35" t="s">
        <v>19</v>
      </c>
      <c r="F29" s="69">
        <v>2223192</v>
      </c>
      <c r="G29" s="21"/>
      <c r="H29" s="22" t="s">
        <v>79</v>
      </c>
      <c r="I29" s="68">
        <v>1086467</v>
      </c>
      <c r="K29" s="43"/>
      <c r="L29" s="43"/>
    </row>
    <row r="30" spans="1:12">
      <c r="A30" s="16"/>
      <c r="B30" s="17"/>
      <c r="C30" s="43"/>
      <c r="D30" s="44"/>
      <c r="E30" s="35" t="s">
        <v>89</v>
      </c>
      <c r="F30" s="69">
        <v>805317</v>
      </c>
      <c r="G30" s="21"/>
      <c r="H30" s="22" t="s">
        <v>80</v>
      </c>
      <c r="I30" s="68">
        <v>901062</v>
      </c>
      <c r="K30" s="43"/>
      <c r="L30" s="43"/>
    </row>
    <row r="31" spans="1:12" ht="15.75">
      <c r="A31" s="291" t="s">
        <v>9</v>
      </c>
      <c r="B31" s="292"/>
      <c r="C31" s="293"/>
      <c r="D31" s="46"/>
      <c r="E31" s="35" t="s">
        <v>153</v>
      </c>
      <c r="F31" s="69">
        <v>1925667</v>
      </c>
      <c r="G31" s="21"/>
      <c r="H31" s="74"/>
      <c r="I31" s="75"/>
      <c r="K31" s="66"/>
      <c r="L31" s="66"/>
    </row>
    <row r="32" spans="1:12">
      <c r="A32" s="48" t="s">
        <v>10</v>
      </c>
      <c r="B32" s="30"/>
      <c r="C32" s="49"/>
      <c r="D32" s="19"/>
      <c r="E32" s="35" t="s">
        <v>154</v>
      </c>
      <c r="F32" s="69">
        <f>I25+I26</f>
        <v>344312</v>
      </c>
      <c r="G32" s="45"/>
      <c r="H32" s="74"/>
      <c r="I32" s="75"/>
      <c r="K32" s="49"/>
      <c r="L32" s="49"/>
    </row>
    <row r="33" spans="1:12">
      <c r="A33" s="50" t="s">
        <v>11</v>
      </c>
      <c r="B33" s="51"/>
      <c r="C33" s="49"/>
      <c r="D33" s="19"/>
      <c r="E33" s="35" t="s">
        <v>156</v>
      </c>
      <c r="F33" s="68">
        <v>698218</v>
      </c>
      <c r="G33" s="21"/>
      <c r="H33" s="74"/>
      <c r="I33" s="75"/>
      <c r="K33" s="49"/>
      <c r="L33" s="49"/>
    </row>
    <row r="34" spans="1:12">
      <c r="A34" s="52" t="s">
        <v>12</v>
      </c>
      <c r="B34" s="51"/>
      <c r="C34" s="49"/>
      <c r="D34" s="19"/>
      <c r="E34" s="35" t="s">
        <v>19</v>
      </c>
      <c r="F34" s="68">
        <v>205576</v>
      </c>
      <c r="G34" s="21"/>
      <c r="H34" s="41"/>
      <c r="I34" s="47"/>
      <c r="K34" s="49"/>
      <c r="L34" s="49"/>
    </row>
    <row r="35" spans="1:12">
      <c r="A35" s="53" t="s">
        <v>13</v>
      </c>
      <c r="B35" s="30"/>
      <c r="C35" s="49"/>
      <c r="D35" s="19"/>
      <c r="E35" s="35" t="s">
        <v>89</v>
      </c>
      <c r="F35" s="68">
        <v>99630</v>
      </c>
      <c r="G35" s="21"/>
      <c r="H35" s="41"/>
      <c r="I35" s="47"/>
      <c r="K35" s="49"/>
      <c r="L35" s="49"/>
    </row>
    <row r="36" spans="1:12">
      <c r="A36" s="16"/>
      <c r="B36" s="30"/>
      <c r="C36" s="49"/>
      <c r="D36" s="19"/>
      <c r="E36" s="35" t="s">
        <v>153</v>
      </c>
      <c r="F36" s="68">
        <v>611393</v>
      </c>
      <c r="G36" s="21"/>
      <c r="H36" s="41" t="s">
        <v>81</v>
      </c>
      <c r="I36" s="47">
        <f>SUM(I32:I35)</f>
        <v>0</v>
      </c>
      <c r="K36" s="49"/>
      <c r="L36" s="49"/>
    </row>
    <row r="37" spans="1:12">
      <c r="A37" s="16"/>
      <c r="B37" s="30"/>
      <c r="C37" s="49"/>
      <c r="D37" s="19"/>
      <c r="E37" s="35" t="s">
        <v>167</v>
      </c>
      <c r="F37" s="68">
        <v>0</v>
      </c>
      <c r="G37" s="21"/>
      <c r="H37" s="22"/>
      <c r="I37" s="47"/>
      <c r="K37" s="49"/>
      <c r="L37" s="49"/>
    </row>
    <row r="38" spans="1:12">
      <c r="A38" s="16"/>
      <c r="B38" s="30"/>
      <c r="C38" s="49"/>
      <c r="D38" s="19"/>
      <c r="E38" s="35" t="s">
        <v>157</v>
      </c>
      <c r="F38" s="68">
        <v>630102</v>
      </c>
      <c r="G38" s="54"/>
      <c r="H38" s="22" t="s">
        <v>82</v>
      </c>
      <c r="I38" s="69">
        <v>81937</v>
      </c>
      <c r="K38" s="49"/>
      <c r="L38" s="49"/>
    </row>
    <row r="39" spans="1:12">
      <c r="A39" s="16"/>
      <c r="B39" s="30"/>
      <c r="C39" s="49"/>
      <c r="D39" s="19"/>
      <c r="E39" s="35" t="s">
        <v>19</v>
      </c>
      <c r="F39" s="71">
        <v>663266</v>
      </c>
      <c r="G39" s="45"/>
      <c r="H39" s="22" t="s">
        <v>120</v>
      </c>
      <c r="I39" s="69">
        <v>1045987</v>
      </c>
      <c r="K39" s="49"/>
      <c r="L39" s="49"/>
    </row>
    <row r="40" spans="1:12">
      <c r="A40" s="16"/>
      <c r="B40" s="30"/>
      <c r="C40" s="49"/>
      <c r="D40" s="19"/>
      <c r="E40" s="35" t="s">
        <v>89</v>
      </c>
      <c r="F40" s="69">
        <v>165816</v>
      </c>
      <c r="G40" s="45"/>
      <c r="H40" s="22" t="s">
        <v>17</v>
      </c>
      <c r="I40" s="69">
        <v>10231</v>
      </c>
      <c r="K40" s="49"/>
      <c r="L40" s="49"/>
    </row>
    <row r="41" spans="1:12">
      <c r="A41" s="16"/>
      <c r="B41" s="30"/>
      <c r="C41" s="49"/>
      <c r="D41" s="19"/>
      <c r="E41" s="35" t="s">
        <v>150</v>
      </c>
      <c r="F41" s="69">
        <v>497449</v>
      </c>
      <c r="G41" s="55"/>
      <c r="H41" s="56"/>
      <c r="I41" s="57"/>
      <c r="K41" s="49"/>
      <c r="L41" s="49"/>
    </row>
    <row r="42" spans="1:12">
      <c r="A42" s="58"/>
      <c r="B42" s="59"/>
      <c r="C42" s="60"/>
      <c r="D42" s="61"/>
      <c r="E42" s="35" t="s">
        <v>167</v>
      </c>
      <c r="F42" s="70">
        <v>0</v>
      </c>
      <c r="G42" s="62"/>
      <c r="K42" s="60"/>
      <c r="L42" s="60"/>
    </row>
    <row r="43" spans="1:12">
      <c r="F43" s="5"/>
      <c r="G43" s="5"/>
      <c r="H43" s="3" t="s">
        <v>115</v>
      </c>
    </row>
    <row r="44" spans="1:12">
      <c r="E44" s="63"/>
      <c r="F44" s="5"/>
      <c r="G44" s="5"/>
      <c r="H44" s="3" t="s">
        <v>116</v>
      </c>
      <c r="I44" s="5">
        <f>I18</f>
        <v>5258550</v>
      </c>
    </row>
    <row r="45" spans="1:12">
      <c r="E45" s="63"/>
      <c r="F45" s="5"/>
      <c r="G45" s="5"/>
      <c r="H45" s="3" t="s">
        <v>117</v>
      </c>
      <c r="I45" s="5">
        <v>1101252</v>
      </c>
    </row>
    <row r="46" spans="1:12">
      <c r="E46" s="63"/>
      <c r="F46" s="5"/>
      <c r="G46" s="5"/>
      <c r="H46" s="3" t="s">
        <v>118</v>
      </c>
      <c r="I46" s="5">
        <f>I39+I40</f>
        <v>1056218</v>
      </c>
    </row>
    <row r="47" spans="1:12" ht="15" thickBot="1">
      <c r="E47" s="63"/>
      <c r="F47" s="5"/>
      <c r="G47" s="5"/>
      <c r="H47" s="3" t="s">
        <v>119</v>
      </c>
      <c r="I47" s="76">
        <f>I44+I45-I46</f>
        <v>5303584</v>
      </c>
    </row>
    <row r="48" spans="1:12" ht="15" thickTop="1">
      <c r="E48" s="63"/>
      <c r="F48" s="5"/>
      <c r="G48" s="5"/>
    </row>
    <row r="59" spans="2:2">
      <c r="B59" s="64"/>
    </row>
    <row r="60" spans="2:2">
      <c r="B60" s="65"/>
    </row>
    <row r="61" spans="2:2">
      <c r="B61" s="64"/>
    </row>
  </sheetData>
  <mergeCells count="1">
    <mergeCell ref="A31:C31"/>
  </mergeCells>
  <phoneticPr fontId="3" type="noConversion"/>
  <printOptions horizontalCentered="1"/>
  <pageMargins left="0.39370078740157483" right="0" top="1.1811023622047245" bottom="0.47244094488188981" header="0.59055118110236227" footer="0.15748031496062992"/>
  <pageSetup paperSize="9" scale="78" orientation="landscape" r:id="rId1"/>
  <headerFooter alignWithMargins="0">
    <oddHeader>&amp;L
帝寶101Q2財務比率(合併)&amp;RPreparer: DY 2012/8/17
Reviewer: KAY 2012/8/20 CH 2012/8/20 AMMY 2012/8/20
2320-2: &amp;P/&amp;N</oddHeader>
    <oddFooter>&amp;L帝寶工業股份有限公司 
Period End: 2012/6/30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L61"/>
  <sheetViews>
    <sheetView zoomScale="120" zoomScaleNormal="120" zoomScaleSheetLayoutView="100" workbookViewId="0">
      <pane ySplit="2" topLeftCell="A3" activePane="bottomLeft" state="frozen"/>
      <selection activeCell="A30" sqref="A30"/>
      <selection pane="bottomLeft" activeCell="A30" sqref="A30"/>
    </sheetView>
  </sheetViews>
  <sheetFormatPr defaultColWidth="31.28515625" defaultRowHeight="14.25"/>
  <cols>
    <col min="1" max="1" width="34" style="3" customWidth="1"/>
    <col min="2" max="2" width="23.140625" style="1" bestFit="1" customWidth="1"/>
    <col min="3" max="3" width="8.7109375" style="2" bestFit="1" customWidth="1"/>
    <col min="4" max="4" width="2.5703125" style="2" customWidth="1"/>
    <col min="5" max="5" width="32.28515625" style="3" customWidth="1"/>
    <col min="6" max="6" width="13" style="4" bestFit="1" customWidth="1"/>
    <col min="7" max="7" width="1" style="4" customWidth="1"/>
    <col min="8" max="8" width="36.85546875" style="3" customWidth="1"/>
    <col min="9" max="9" width="13" style="5" bestFit="1" customWidth="1"/>
    <col min="10" max="10" width="31.28515625" style="6"/>
    <col min="11" max="12" width="8.7109375" style="2" bestFit="1" customWidth="1"/>
    <col min="13" max="16384" width="31.28515625" style="3"/>
  </cols>
  <sheetData>
    <row r="1" spans="1:12">
      <c r="A1" s="1" t="s">
        <v>21</v>
      </c>
    </row>
    <row r="2" spans="1:12">
      <c r="A2" s="7" t="s">
        <v>166</v>
      </c>
      <c r="I2" s="8" t="s">
        <v>0</v>
      </c>
    </row>
    <row r="3" spans="1:12">
      <c r="A3" s="9" t="s">
        <v>22</v>
      </c>
      <c r="B3" s="10" t="s">
        <v>1</v>
      </c>
      <c r="C3" s="11">
        <f>F3/F4</f>
        <v>0.56970408172708076</v>
      </c>
      <c r="D3" s="12"/>
      <c r="E3" s="13" t="s">
        <v>23</v>
      </c>
      <c r="F3" s="67">
        <v>12928346</v>
      </c>
      <c r="G3" s="14"/>
      <c r="H3" s="15" t="s">
        <v>24</v>
      </c>
      <c r="I3" s="68">
        <f>F7+13129585</f>
        <v>23806010</v>
      </c>
      <c r="K3" s="11">
        <v>0.59016196378942232</v>
      </c>
      <c r="L3" s="11">
        <f>C3-K3</f>
        <v>-2.0457882062341559E-2</v>
      </c>
    </row>
    <row r="4" spans="1:12">
      <c r="A4" s="16" t="s">
        <v>102</v>
      </c>
      <c r="B4" s="17" t="s">
        <v>100</v>
      </c>
      <c r="C4" s="18">
        <f>SUM(F5:F6)/F7</f>
        <v>1.3744245850085586</v>
      </c>
      <c r="D4" s="19"/>
      <c r="E4" s="16" t="s">
        <v>25</v>
      </c>
      <c r="F4" s="68">
        <v>22693090</v>
      </c>
      <c r="G4" s="21"/>
      <c r="H4" s="22" t="s">
        <v>26</v>
      </c>
      <c r="I4" s="20">
        <v>0</v>
      </c>
      <c r="K4" s="18">
        <v>1.2489724628634415</v>
      </c>
      <c r="L4" s="18">
        <f t="shared" ref="L4:L24" si="0">C4-K4</f>
        <v>0.12545212214511703</v>
      </c>
    </row>
    <row r="5" spans="1:12">
      <c r="A5" s="23" t="s">
        <v>27</v>
      </c>
      <c r="B5" s="24" t="s">
        <v>2</v>
      </c>
      <c r="C5" s="25">
        <f>F9/F10</f>
        <v>1.0987561148944858</v>
      </c>
      <c r="D5" s="19"/>
      <c r="E5" s="16" t="s">
        <v>104</v>
      </c>
      <c r="F5" s="68">
        <v>9764744</v>
      </c>
      <c r="G5" s="21"/>
      <c r="H5" s="22" t="s">
        <v>112</v>
      </c>
      <c r="I5" s="68">
        <f>13882001-F7-37643</f>
        <v>3167933</v>
      </c>
      <c r="K5" s="25">
        <v>1.2765880098049001</v>
      </c>
      <c r="L5" s="25">
        <f t="shared" si="0"/>
        <v>-0.17783189491041429</v>
      </c>
    </row>
    <row r="6" spans="1:12">
      <c r="A6" s="16" t="s">
        <v>28</v>
      </c>
      <c r="B6" s="17" t="s">
        <v>14</v>
      </c>
      <c r="C6" s="18">
        <f>(F9-F11-I38)/F10</f>
        <v>0.6776404827993594</v>
      </c>
      <c r="D6" s="19"/>
      <c r="E6" s="16" t="s">
        <v>101</v>
      </c>
      <c r="F6" s="68">
        <v>4909197</v>
      </c>
      <c r="G6" s="21"/>
      <c r="H6" s="22" t="s">
        <v>29</v>
      </c>
      <c r="I6" s="20">
        <f>F9-F10</f>
        <v>791940</v>
      </c>
      <c r="K6" s="18">
        <v>0.7876312098969267</v>
      </c>
      <c r="L6" s="18">
        <f>C6-K6</f>
        <v>-0.1099907270975673</v>
      </c>
    </row>
    <row r="7" spans="1:12">
      <c r="A7" s="16" t="s">
        <v>30</v>
      </c>
      <c r="B7" s="17" t="s">
        <v>3</v>
      </c>
      <c r="C7" s="26">
        <f>F13/F14</f>
        <v>16.515659245587727</v>
      </c>
      <c r="D7" s="27"/>
      <c r="E7" s="16" t="s">
        <v>109</v>
      </c>
      <c r="F7" s="68">
        <v>10676425</v>
      </c>
      <c r="G7" s="21"/>
      <c r="H7" s="22" t="s">
        <v>31</v>
      </c>
      <c r="I7" s="68">
        <f>I47</f>
        <v>2625299</v>
      </c>
      <c r="K7" s="26">
        <v>-5.2465996179604613</v>
      </c>
      <c r="L7" s="26">
        <f t="shared" si="0"/>
        <v>21.76225886354819</v>
      </c>
    </row>
    <row r="8" spans="1:12">
      <c r="A8" s="23" t="s">
        <v>32</v>
      </c>
      <c r="B8" s="24" t="s">
        <v>18</v>
      </c>
      <c r="C8" s="29">
        <f>(F13+I39+I40)/F14</f>
        <v>32.324431883723612</v>
      </c>
      <c r="D8" s="27"/>
      <c r="E8" s="16" t="s">
        <v>121</v>
      </c>
      <c r="F8" s="20">
        <v>432632</v>
      </c>
      <c r="G8" s="21"/>
      <c r="H8" s="22"/>
      <c r="I8" s="28"/>
      <c r="K8" s="29">
        <v>15.433143080711606</v>
      </c>
      <c r="L8" s="29">
        <f t="shared" si="0"/>
        <v>16.891288803012007</v>
      </c>
    </row>
    <row r="9" spans="1:12">
      <c r="A9" s="16" t="s">
        <v>33</v>
      </c>
      <c r="B9" s="30" t="s">
        <v>158</v>
      </c>
      <c r="C9" s="31">
        <f>F18*4/(SUM(I12:I15)/2)</f>
        <v>4.4549353607371041</v>
      </c>
      <c r="D9" s="32"/>
      <c r="E9" s="16" t="s">
        <v>34</v>
      </c>
      <c r="F9" s="68">
        <v>8811089</v>
      </c>
      <c r="G9" s="21"/>
      <c r="H9" s="22" t="s">
        <v>35</v>
      </c>
      <c r="I9" s="68">
        <v>499476</v>
      </c>
      <c r="K9" s="31">
        <v>4.6767890640311336</v>
      </c>
      <c r="L9" s="31">
        <f>C9-K9</f>
        <v>-0.22185370329402954</v>
      </c>
    </row>
    <row r="10" spans="1:12">
      <c r="A10" s="33" t="s">
        <v>36</v>
      </c>
      <c r="B10" s="17" t="s">
        <v>129</v>
      </c>
      <c r="C10" s="26">
        <f>365/C9</f>
        <v>81.931604040065778</v>
      </c>
      <c r="D10" s="34"/>
      <c r="E10" s="35" t="s">
        <v>37</v>
      </c>
      <c r="F10" s="68">
        <v>8019149</v>
      </c>
      <c r="G10" s="21"/>
      <c r="H10" s="22" t="s">
        <v>38</v>
      </c>
      <c r="I10" s="68">
        <f>F14</f>
        <v>34676</v>
      </c>
      <c r="K10" s="26">
        <v>78.044999464951317</v>
      </c>
      <c r="L10" s="26">
        <f t="shared" si="0"/>
        <v>3.8866045751144611</v>
      </c>
    </row>
    <row r="11" spans="1:12">
      <c r="A11" s="33" t="s">
        <v>39</v>
      </c>
      <c r="B11" s="30" t="s">
        <v>159</v>
      </c>
      <c r="C11" s="26">
        <f>I18*4/(SUM(I16+I17)/2)</f>
        <v>2.8772989066930545</v>
      </c>
      <c r="D11" s="27"/>
      <c r="E11" s="16" t="s">
        <v>40</v>
      </c>
      <c r="F11" s="68">
        <v>3318287</v>
      </c>
      <c r="G11" s="21"/>
      <c r="H11" s="22" t="s">
        <v>41</v>
      </c>
      <c r="I11" s="68">
        <f>F13-F14</f>
        <v>538021</v>
      </c>
      <c r="K11" s="26">
        <v>2.9937714403313924</v>
      </c>
      <c r="L11" s="26">
        <f t="shared" si="0"/>
        <v>-0.11647253363833787</v>
      </c>
    </row>
    <row r="12" spans="1:12">
      <c r="A12" s="16" t="s">
        <v>42</v>
      </c>
      <c r="B12" s="36" t="s">
        <v>160</v>
      </c>
      <c r="C12" s="37">
        <f>I18*4/(SUM(I27:I30)/2)</f>
        <v>6.16990742270628</v>
      </c>
      <c r="D12" s="38"/>
      <c r="E12" s="16" t="s">
        <v>88</v>
      </c>
      <c r="F12" s="68">
        <v>247053</v>
      </c>
      <c r="G12" s="21"/>
      <c r="H12" s="22" t="s">
        <v>43</v>
      </c>
      <c r="I12" s="68">
        <v>270338</v>
      </c>
      <c r="K12" s="37">
        <v>5.7242227594407815</v>
      </c>
      <c r="L12" s="37">
        <f t="shared" si="0"/>
        <v>0.44568466326549849</v>
      </c>
    </row>
    <row r="13" spans="1:12">
      <c r="A13" s="16" t="s">
        <v>44</v>
      </c>
      <c r="B13" s="30" t="s">
        <v>4</v>
      </c>
      <c r="C13" s="26">
        <f>365/C11</f>
        <v>126.85508591093959</v>
      </c>
      <c r="D13" s="34"/>
      <c r="E13" s="33" t="s">
        <v>87</v>
      </c>
      <c r="F13" s="68">
        <f>538021+34676</f>
        <v>572697</v>
      </c>
      <c r="G13" s="21"/>
      <c r="H13" s="39" t="s">
        <v>45</v>
      </c>
      <c r="I13" s="68">
        <v>3010926</v>
      </c>
      <c r="K13" s="26">
        <v>121.91979490578503</v>
      </c>
      <c r="L13" s="26">
        <f t="shared" si="0"/>
        <v>4.9352910051545678</v>
      </c>
    </row>
    <row r="14" spans="1:12">
      <c r="A14" s="16" t="s">
        <v>103</v>
      </c>
      <c r="B14" s="40" t="s">
        <v>161</v>
      </c>
      <c r="C14" s="26">
        <f>F18*4/I23</f>
        <v>1.4350681254535917</v>
      </c>
      <c r="D14" s="27"/>
      <c r="E14" s="33" t="s">
        <v>46</v>
      </c>
      <c r="F14" s="68">
        <v>34676</v>
      </c>
      <c r="G14" s="21"/>
      <c r="H14" s="39" t="s">
        <v>47</v>
      </c>
      <c r="I14" s="68">
        <v>174185</v>
      </c>
      <c r="K14" s="26">
        <v>1.2150060780898926</v>
      </c>
      <c r="L14" s="26">
        <f t="shared" si="0"/>
        <v>0.22006204736369916</v>
      </c>
    </row>
    <row r="15" spans="1:12">
      <c r="A15" s="16" t="s">
        <v>48</v>
      </c>
      <c r="B15" s="17" t="s">
        <v>162</v>
      </c>
      <c r="C15" s="26">
        <f>F18*4/F16</f>
        <v>0.65367881872028033</v>
      </c>
      <c r="D15" s="27"/>
      <c r="E15" s="16" t="s">
        <v>49</v>
      </c>
      <c r="F15" s="68">
        <v>429924</v>
      </c>
      <c r="G15" s="21"/>
      <c r="H15" s="39" t="s">
        <v>50</v>
      </c>
      <c r="I15" s="68">
        <v>3140310</v>
      </c>
      <c r="K15" s="26">
        <v>0.65745562973445326</v>
      </c>
      <c r="L15" s="26">
        <f t="shared" si="0"/>
        <v>-3.7768110141729316E-3</v>
      </c>
    </row>
    <row r="16" spans="1:12">
      <c r="A16" s="33" t="s">
        <v>51</v>
      </c>
      <c r="B16" s="17" t="s">
        <v>163</v>
      </c>
      <c r="C16" s="18">
        <f>(F15+I10*0.83)*4/F16</f>
        <v>8.1636008787297348E-2</v>
      </c>
      <c r="D16" s="19"/>
      <c r="E16" s="16" t="s">
        <v>52</v>
      </c>
      <c r="F16" s="68">
        <f>(F4+I22)/2</f>
        <v>22475625</v>
      </c>
      <c r="G16" s="21"/>
      <c r="H16" s="22" t="s">
        <v>53</v>
      </c>
      <c r="I16" s="68">
        <v>3664622</v>
      </c>
      <c r="K16" s="18">
        <v>-1.8047453480236827E-2</v>
      </c>
      <c r="L16" s="18">
        <f t="shared" si="0"/>
        <v>9.9683462267534176E-2</v>
      </c>
    </row>
    <row r="17" spans="1:12">
      <c r="A17" s="16" t="s">
        <v>54</v>
      </c>
      <c r="B17" s="17" t="s">
        <v>164</v>
      </c>
      <c r="C17" s="18">
        <f>F15*4/F17</f>
        <v>0.18025193298033695</v>
      </c>
      <c r="D17" s="19"/>
      <c r="E17" s="16" t="s">
        <v>55</v>
      </c>
      <c r="F17" s="68">
        <f>(F5+I21)/2</f>
        <v>9540513.5</v>
      </c>
      <c r="G17" s="21"/>
      <c r="H17" s="41" t="s">
        <v>56</v>
      </c>
      <c r="I17" s="68">
        <v>3667994</v>
      </c>
      <c r="K17" s="18">
        <v>-4.9121452930691832E-2</v>
      </c>
      <c r="L17" s="18">
        <f t="shared" si="0"/>
        <v>0.22937338591102879</v>
      </c>
    </row>
    <row r="18" spans="1:12">
      <c r="A18" s="16" t="s">
        <v>57</v>
      </c>
      <c r="B18" s="30" t="s">
        <v>84</v>
      </c>
      <c r="C18" s="18">
        <f>I9/I19</f>
        <v>0.30122231576611241</v>
      </c>
      <c r="D18" s="19"/>
      <c r="E18" s="16" t="s">
        <v>58</v>
      </c>
      <c r="F18" s="68">
        <v>3672960</v>
      </c>
      <c r="G18" s="21"/>
      <c r="H18" s="22" t="s">
        <v>59</v>
      </c>
      <c r="I18" s="68">
        <v>2637266</v>
      </c>
      <c r="K18" s="18">
        <v>0.82572712952397953</v>
      </c>
      <c r="L18" s="18">
        <f t="shared" si="0"/>
        <v>-0.52450481375786717</v>
      </c>
    </row>
    <row r="19" spans="1:12">
      <c r="A19" s="16" t="s">
        <v>60</v>
      </c>
      <c r="B19" s="30" t="s">
        <v>85</v>
      </c>
      <c r="C19" s="18">
        <f>I11/I19</f>
        <v>0.32446790546652804</v>
      </c>
      <c r="D19" s="19"/>
      <c r="E19" s="16" t="s">
        <v>61</v>
      </c>
      <c r="F19" s="68">
        <v>165816</v>
      </c>
      <c r="G19" s="21"/>
      <c r="H19" s="22" t="s">
        <v>62</v>
      </c>
      <c r="I19" s="68">
        <v>1658164</v>
      </c>
      <c r="K19" s="18">
        <v>-0.32737533802446561</v>
      </c>
      <c r="L19" s="18">
        <f t="shared" si="0"/>
        <v>0.65184324349099365</v>
      </c>
    </row>
    <row r="20" spans="1:12">
      <c r="A20" s="16" t="s">
        <v>63</v>
      </c>
      <c r="B20" s="40" t="s">
        <v>5</v>
      </c>
      <c r="C20" s="18">
        <f>F15/F18</f>
        <v>0.11705109775222164</v>
      </c>
      <c r="D20" s="19"/>
      <c r="E20" s="16" t="s">
        <v>64</v>
      </c>
      <c r="F20" s="68">
        <v>924256</v>
      </c>
      <c r="G20" s="21"/>
      <c r="H20" s="22" t="s">
        <v>105</v>
      </c>
      <c r="I20" s="68">
        <v>9799035</v>
      </c>
      <c r="K20" s="18">
        <v>-3.2480406700189729E-2</v>
      </c>
      <c r="L20" s="18">
        <f t="shared" si="0"/>
        <v>0.14953150445241137</v>
      </c>
    </row>
    <row r="21" spans="1:12">
      <c r="A21" s="33" t="s">
        <v>65</v>
      </c>
      <c r="B21" s="17" t="s">
        <v>6</v>
      </c>
      <c r="C21" s="26">
        <f>F8/F19</f>
        <v>2.6091088917836638</v>
      </c>
      <c r="D21" s="27"/>
      <c r="E21" s="16" t="s">
        <v>66</v>
      </c>
      <c r="F21" s="20">
        <f>SUM(F22:F26)</f>
        <v>10065792</v>
      </c>
      <c r="G21" s="21"/>
      <c r="H21" s="22" t="s">
        <v>106</v>
      </c>
      <c r="I21" s="68">
        <v>9316283</v>
      </c>
      <c r="K21" s="26">
        <v>-2.3558643315482222</v>
      </c>
      <c r="L21" s="26">
        <f t="shared" si="0"/>
        <v>4.964973223331886</v>
      </c>
    </row>
    <row r="22" spans="1:12">
      <c r="A22" s="16" t="s">
        <v>67</v>
      </c>
      <c r="B22" s="17" t="s">
        <v>165</v>
      </c>
      <c r="C22" s="18">
        <f>F20*4/F10</f>
        <v>0.46102448027839366</v>
      </c>
      <c r="D22" s="19"/>
      <c r="E22" s="35" t="s">
        <v>16</v>
      </c>
      <c r="F22" s="68">
        <v>1847345</v>
      </c>
      <c r="G22" s="21"/>
      <c r="H22" s="22" t="s">
        <v>68</v>
      </c>
      <c r="I22" s="68">
        <v>22258160</v>
      </c>
      <c r="K22" s="18">
        <v>0.28989685908247381</v>
      </c>
      <c r="L22" s="18">
        <f t="shared" si="0"/>
        <v>0.17112762119591984</v>
      </c>
    </row>
    <row r="23" spans="1:12">
      <c r="A23" s="16" t="s">
        <v>69</v>
      </c>
      <c r="B23" s="17" t="s">
        <v>7</v>
      </c>
      <c r="C23" s="18">
        <f>F21/F27</f>
        <v>0.91103157496503007</v>
      </c>
      <c r="D23" s="19"/>
      <c r="E23" s="35" t="s">
        <v>19</v>
      </c>
      <c r="F23" s="68">
        <v>1713676</v>
      </c>
      <c r="G23" s="21"/>
      <c r="H23" s="22" t="s">
        <v>110</v>
      </c>
      <c r="I23" s="68">
        <f>(F7+I20)/2</f>
        <v>10237730</v>
      </c>
      <c r="K23" s="18">
        <v>0.64955719071380458</v>
      </c>
      <c r="L23" s="18">
        <f t="shared" si="0"/>
        <v>0.26147438425122549</v>
      </c>
    </row>
    <row r="24" spans="1:12">
      <c r="A24" s="16" t="s">
        <v>70</v>
      </c>
      <c r="B24" s="17" t="s">
        <v>86</v>
      </c>
      <c r="C24" s="18">
        <f>(F20-I24)/SUM(I3:I6)</f>
        <v>3.3287470094143956E-2</v>
      </c>
      <c r="D24" s="19"/>
      <c r="E24" s="35" t="s">
        <v>89</v>
      </c>
      <c r="F24" s="68">
        <v>2890162</v>
      </c>
      <c r="G24" s="21"/>
      <c r="H24" s="22" t="s">
        <v>71</v>
      </c>
      <c r="I24" s="20">
        <f>F42</f>
        <v>0</v>
      </c>
      <c r="K24" s="18">
        <v>4.762271561960784E-2</v>
      </c>
      <c r="L24" s="18">
        <f t="shared" si="0"/>
        <v>-1.4335245525463884E-2</v>
      </c>
    </row>
    <row r="25" spans="1:12">
      <c r="A25" s="72" t="s">
        <v>113</v>
      </c>
      <c r="B25" s="73" t="s">
        <v>114</v>
      </c>
      <c r="C25" s="26">
        <f>(F18-I7)/I9</f>
        <v>2.0975202011708269</v>
      </c>
      <c r="D25" s="27"/>
      <c r="E25" s="35" t="s">
        <v>150</v>
      </c>
      <c r="F25" s="68">
        <v>2690353</v>
      </c>
      <c r="G25" s="21"/>
      <c r="H25" s="22" t="s">
        <v>73</v>
      </c>
      <c r="I25" s="68">
        <v>251207</v>
      </c>
      <c r="K25" s="26">
        <v>1.0677709939023106</v>
      </c>
      <c r="L25" s="26">
        <f>C26-K25</f>
        <v>6.8331369066394476E-3</v>
      </c>
    </row>
    <row r="26" spans="1:12">
      <c r="A26" s="16" t="s">
        <v>72</v>
      </c>
      <c r="B26" s="17" t="s">
        <v>8</v>
      </c>
      <c r="C26" s="26">
        <f>I9/(I9-I10)</f>
        <v>1.07460413080895</v>
      </c>
      <c r="D26" s="27"/>
      <c r="E26" s="35" t="s">
        <v>151</v>
      </c>
      <c r="F26" s="68">
        <f>F20</f>
        <v>924256</v>
      </c>
      <c r="G26" s="21"/>
      <c r="H26" s="22" t="s">
        <v>75</v>
      </c>
      <c r="I26" s="82">
        <v>0</v>
      </c>
      <c r="K26" s="42"/>
      <c r="L26" s="42"/>
    </row>
    <row r="27" spans="1:12">
      <c r="A27" s="16"/>
      <c r="B27" s="17"/>
      <c r="C27" s="43"/>
      <c r="D27" s="44"/>
      <c r="E27" s="33" t="s">
        <v>76</v>
      </c>
      <c r="F27" s="20">
        <f>SUM(F28:F42)</f>
        <v>11048785</v>
      </c>
      <c r="G27" s="21"/>
      <c r="H27" s="22" t="s">
        <v>77</v>
      </c>
      <c r="I27" s="68">
        <v>883263</v>
      </c>
      <c r="K27" s="43"/>
      <c r="L27" s="43"/>
    </row>
    <row r="28" spans="1:12">
      <c r="A28" s="16"/>
      <c r="B28" s="17"/>
      <c r="C28" s="43"/>
      <c r="D28" s="44"/>
      <c r="E28" s="35" t="s">
        <v>152</v>
      </c>
      <c r="F28" s="69">
        <v>2268581</v>
      </c>
      <c r="G28" s="45"/>
      <c r="H28" s="22" t="s">
        <v>78</v>
      </c>
      <c r="I28" s="68">
        <v>733487</v>
      </c>
      <c r="K28" s="43"/>
      <c r="L28" s="43"/>
    </row>
    <row r="29" spans="1:12">
      <c r="A29" s="16"/>
      <c r="B29" s="17"/>
      <c r="C29" s="43"/>
      <c r="D29" s="44"/>
      <c r="E29" s="35" t="s">
        <v>19</v>
      </c>
      <c r="F29" s="69">
        <v>2223192</v>
      </c>
      <c r="G29" s="21"/>
      <c r="H29" s="22" t="s">
        <v>79</v>
      </c>
      <c r="I29" s="68">
        <v>929972</v>
      </c>
      <c r="K29" s="43"/>
      <c r="L29" s="43"/>
    </row>
    <row r="30" spans="1:12">
      <c r="A30" s="16"/>
      <c r="B30" s="17"/>
      <c r="C30" s="43"/>
      <c r="D30" s="44"/>
      <c r="E30" s="35" t="s">
        <v>89</v>
      </c>
      <c r="F30" s="69">
        <v>805317</v>
      </c>
      <c r="G30" s="21"/>
      <c r="H30" s="22" t="s">
        <v>80</v>
      </c>
      <c r="I30" s="68">
        <v>872799</v>
      </c>
      <c r="K30" s="43"/>
      <c r="L30" s="43"/>
    </row>
    <row r="31" spans="1:12" ht="15.75">
      <c r="A31" s="291" t="s">
        <v>9</v>
      </c>
      <c r="B31" s="292"/>
      <c r="C31" s="293"/>
      <c r="D31" s="46"/>
      <c r="E31" s="35" t="s">
        <v>153</v>
      </c>
      <c r="F31" s="69">
        <v>1925667</v>
      </c>
      <c r="G31" s="21"/>
      <c r="H31" s="74"/>
      <c r="I31" s="75"/>
      <c r="K31" s="66"/>
      <c r="L31" s="66"/>
    </row>
    <row r="32" spans="1:12">
      <c r="A32" s="48" t="s">
        <v>10</v>
      </c>
      <c r="B32" s="30"/>
      <c r="C32" s="49"/>
      <c r="D32" s="19"/>
      <c r="E32" s="35" t="s">
        <v>154</v>
      </c>
      <c r="F32" s="69">
        <f>I25+I26</f>
        <v>251207</v>
      </c>
      <c r="G32" s="45"/>
      <c r="H32" s="74"/>
      <c r="I32" s="75"/>
      <c r="K32" s="49"/>
      <c r="L32" s="49"/>
    </row>
    <row r="33" spans="1:12">
      <c r="A33" s="50" t="s">
        <v>11</v>
      </c>
      <c r="B33" s="51"/>
      <c r="C33" s="49"/>
      <c r="D33" s="19"/>
      <c r="E33" s="35" t="s">
        <v>156</v>
      </c>
      <c r="F33" s="68">
        <v>698218</v>
      </c>
      <c r="G33" s="21"/>
      <c r="H33" s="74"/>
      <c r="I33" s="75"/>
      <c r="K33" s="49"/>
      <c r="L33" s="49"/>
    </row>
    <row r="34" spans="1:12">
      <c r="A34" s="52" t="s">
        <v>12</v>
      </c>
      <c r="B34" s="51"/>
      <c r="C34" s="49"/>
      <c r="D34" s="19"/>
      <c r="E34" s="35" t="s">
        <v>19</v>
      </c>
      <c r="F34" s="68">
        <v>205576</v>
      </c>
      <c r="G34" s="21"/>
      <c r="H34" s="41"/>
      <c r="I34" s="47"/>
      <c r="K34" s="49"/>
      <c r="L34" s="49"/>
    </row>
    <row r="35" spans="1:12">
      <c r="A35" s="53" t="s">
        <v>13</v>
      </c>
      <c r="B35" s="30"/>
      <c r="C35" s="49"/>
      <c r="D35" s="19"/>
      <c r="E35" s="35" t="s">
        <v>89</v>
      </c>
      <c r="F35" s="68">
        <v>99630</v>
      </c>
      <c r="G35" s="21"/>
      <c r="H35" s="41"/>
      <c r="I35" s="47"/>
      <c r="K35" s="49"/>
      <c r="L35" s="49"/>
    </row>
    <row r="36" spans="1:12">
      <c r="A36" s="16"/>
      <c r="B36" s="30"/>
      <c r="C36" s="49"/>
      <c r="D36" s="19"/>
      <c r="E36" s="35" t="s">
        <v>153</v>
      </c>
      <c r="F36" s="68">
        <v>611393</v>
      </c>
      <c r="G36" s="21"/>
      <c r="H36" s="41" t="s">
        <v>81</v>
      </c>
      <c r="I36" s="47">
        <f>SUM(I32:I35)</f>
        <v>0</v>
      </c>
      <c r="K36" s="49"/>
      <c r="L36" s="49"/>
    </row>
    <row r="37" spans="1:12">
      <c r="A37" s="16"/>
      <c r="B37" s="30"/>
      <c r="C37" s="49"/>
      <c r="D37" s="19"/>
      <c r="E37" s="35" t="s">
        <v>155</v>
      </c>
      <c r="F37" s="68">
        <v>3371</v>
      </c>
      <c r="G37" s="21"/>
      <c r="H37" s="22"/>
      <c r="I37" s="47"/>
      <c r="K37" s="49"/>
      <c r="L37" s="49"/>
    </row>
    <row r="38" spans="1:12">
      <c r="A38" s="16"/>
      <c r="B38" s="30"/>
      <c r="C38" s="49"/>
      <c r="D38" s="19"/>
      <c r="E38" s="35" t="s">
        <v>157</v>
      </c>
      <c r="F38" s="68">
        <v>630102</v>
      </c>
      <c r="G38" s="54"/>
      <c r="H38" s="22" t="s">
        <v>82</v>
      </c>
      <c r="I38" s="69">
        <v>58702</v>
      </c>
      <c r="K38" s="49"/>
      <c r="L38" s="49"/>
    </row>
    <row r="39" spans="1:12">
      <c r="A39" s="16"/>
      <c r="B39" s="30"/>
      <c r="C39" s="49"/>
      <c r="D39" s="19"/>
      <c r="E39" s="35" t="s">
        <v>19</v>
      </c>
      <c r="F39" s="71">
        <v>663266</v>
      </c>
      <c r="G39" s="45"/>
      <c r="H39" s="22" t="s">
        <v>120</v>
      </c>
      <c r="I39" s="69">
        <v>542902</v>
      </c>
      <c r="K39" s="49"/>
      <c r="L39" s="49"/>
    </row>
    <row r="40" spans="1:12">
      <c r="A40" s="16"/>
      <c r="B40" s="30"/>
      <c r="C40" s="49"/>
      <c r="D40" s="19"/>
      <c r="E40" s="35" t="s">
        <v>89</v>
      </c>
      <c r="F40" s="69">
        <v>165816</v>
      </c>
      <c r="G40" s="45"/>
      <c r="H40" s="22" t="s">
        <v>17</v>
      </c>
      <c r="I40" s="69">
        <v>5283</v>
      </c>
      <c r="K40" s="49"/>
      <c r="L40" s="49"/>
    </row>
    <row r="41" spans="1:12">
      <c r="A41" s="16"/>
      <c r="B41" s="30"/>
      <c r="C41" s="49"/>
      <c r="D41" s="19"/>
      <c r="E41" s="35" t="s">
        <v>150</v>
      </c>
      <c r="F41" s="69">
        <v>497449</v>
      </c>
      <c r="G41" s="55"/>
      <c r="H41" s="56"/>
      <c r="I41" s="57"/>
      <c r="K41" s="49"/>
      <c r="L41" s="49"/>
    </row>
    <row r="42" spans="1:12">
      <c r="A42" s="58"/>
      <c r="B42" s="59"/>
      <c r="C42" s="60"/>
      <c r="D42" s="61"/>
      <c r="E42" s="35" t="s">
        <v>155</v>
      </c>
      <c r="F42" s="70">
        <v>0</v>
      </c>
      <c r="G42" s="62"/>
      <c r="K42" s="60"/>
      <c r="L42" s="60"/>
    </row>
    <row r="43" spans="1:12">
      <c r="F43" s="5"/>
      <c r="G43" s="5"/>
      <c r="H43" s="3" t="s">
        <v>115</v>
      </c>
    </row>
    <row r="44" spans="1:12">
      <c r="E44" s="63"/>
      <c r="F44" s="5"/>
      <c r="G44" s="5"/>
      <c r="H44" s="3" t="s">
        <v>116</v>
      </c>
      <c r="I44" s="5">
        <v>2637266</v>
      </c>
    </row>
    <row r="45" spans="1:12">
      <c r="E45" s="63"/>
      <c r="F45" s="5"/>
      <c r="G45" s="5"/>
      <c r="H45" s="3" t="s">
        <v>117</v>
      </c>
      <c r="I45" s="5">
        <v>536218</v>
      </c>
    </row>
    <row r="46" spans="1:12">
      <c r="E46" s="63"/>
      <c r="F46" s="5"/>
      <c r="G46" s="5"/>
      <c r="H46" s="3" t="s">
        <v>118</v>
      </c>
      <c r="I46" s="5">
        <f>I39+I40</f>
        <v>548185</v>
      </c>
    </row>
    <row r="47" spans="1:12" ht="15" thickBot="1">
      <c r="E47" s="63"/>
      <c r="F47" s="5"/>
      <c r="G47" s="5"/>
      <c r="H47" s="3" t="s">
        <v>119</v>
      </c>
      <c r="I47" s="76">
        <f>I44+I45-I46</f>
        <v>2625299</v>
      </c>
    </row>
    <row r="48" spans="1:12" ht="15" thickTop="1">
      <c r="E48" s="63"/>
      <c r="F48" s="5"/>
      <c r="G48" s="5"/>
    </row>
    <row r="59" spans="2:2">
      <c r="B59" s="64"/>
    </row>
    <row r="60" spans="2:2">
      <c r="B60" s="65"/>
    </row>
    <row r="61" spans="2:2">
      <c r="B61" s="64"/>
    </row>
  </sheetData>
  <mergeCells count="1">
    <mergeCell ref="A31:C31"/>
  </mergeCells>
  <phoneticPr fontId="3" type="noConversion"/>
  <printOptions horizontalCentered="1"/>
  <pageMargins left="0.39370078740157483" right="0" top="1.1811023622047245" bottom="0.47244094488188981" header="0.59055118110236227" footer="0.15748031496062992"/>
  <pageSetup paperSize="9" scale="78" orientation="landscape" r:id="rId1"/>
  <headerFooter alignWithMargins="0">
    <oddHeader>&amp;L
帝寶101Q2財務比率(合併)&amp;RPreparer: DY 2012/8/17
Reviewer: KAY 2012/8/20 CH 2012/8/20 AMMY 2012/8/20
2320-2: &amp;P/&amp;N</oddHeader>
    <oddFooter>&amp;L帝寶工業股份有限公司 
Period End: 2012/6/30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  <pageSetUpPr fitToPage="1"/>
  </sheetPr>
  <dimension ref="A1:L61"/>
  <sheetViews>
    <sheetView topLeftCell="C1" zoomScale="120" zoomScaleNormal="120" zoomScaleSheetLayoutView="100" workbookViewId="0">
      <pane ySplit="2" topLeftCell="A15" activePane="bottomLeft" state="frozen"/>
      <selection activeCell="I39" sqref="I39"/>
      <selection pane="bottomLeft" activeCell="I39" sqref="I39"/>
    </sheetView>
  </sheetViews>
  <sheetFormatPr defaultColWidth="31.28515625" defaultRowHeight="14.25"/>
  <cols>
    <col min="1" max="1" width="34" style="3" customWidth="1"/>
    <col min="2" max="2" width="23.140625" style="1" bestFit="1" customWidth="1"/>
    <col min="3" max="3" width="8.7109375" style="2" bestFit="1" customWidth="1"/>
    <col min="4" max="4" width="2.5703125" style="2" customWidth="1"/>
    <col min="5" max="5" width="32.28515625" style="3" customWidth="1"/>
    <col min="6" max="6" width="13" style="4" bestFit="1" customWidth="1"/>
    <col min="7" max="7" width="1" style="4" customWidth="1"/>
    <col min="8" max="8" width="36.85546875" style="3" customWidth="1"/>
    <col min="9" max="9" width="13" style="5" bestFit="1" customWidth="1"/>
    <col min="10" max="10" width="31.28515625" style="6"/>
    <col min="11" max="12" width="8.7109375" style="2" bestFit="1" customWidth="1"/>
    <col min="13" max="16384" width="31.28515625" style="3"/>
  </cols>
  <sheetData>
    <row r="1" spans="1:12">
      <c r="A1" s="1" t="s">
        <v>21</v>
      </c>
    </row>
    <row r="2" spans="1:12">
      <c r="A2" s="7" t="s">
        <v>141</v>
      </c>
      <c r="I2" s="8" t="s">
        <v>0</v>
      </c>
    </row>
    <row r="3" spans="1:12">
      <c r="A3" s="9" t="s">
        <v>22</v>
      </c>
      <c r="B3" s="10" t="s">
        <v>1</v>
      </c>
      <c r="C3" s="11">
        <f>F3/F4</f>
        <v>0.58144415351493561</v>
      </c>
      <c r="D3" s="12"/>
      <c r="E3" s="13" t="s">
        <v>23</v>
      </c>
      <c r="F3" s="67">
        <v>12941877</v>
      </c>
      <c r="G3" s="14"/>
      <c r="H3" s="15" t="s">
        <v>24</v>
      </c>
      <c r="I3" s="68">
        <f>F7+12631324</f>
        <v>22430359</v>
      </c>
      <c r="K3" s="11">
        <v>0.59016196378942232</v>
      </c>
      <c r="L3" s="11">
        <f>C3-K3</f>
        <v>-8.7178102744867036E-3</v>
      </c>
    </row>
    <row r="4" spans="1:12">
      <c r="A4" s="16" t="s">
        <v>102</v>
      </c>
      <c r="B4" s="17" t="s">
        <v>100</v>
      </c>
      <c r="C4" s="18">
        <f>SUM(F5:F6)/F7</f>
        <v>1.4578073249049524</v>
      </c>
      <c r="D4" s="19"/>
      <c r="E4" s="16" t="s">
        <v>25</v>
      </c>
      <c r="F4" s="68">
        <v>22258160</v>
      </c>
      <c r="G4" s="21"/>
      <c r="H4" s="22" t="s">
        <v>26</v>
      </c>
      <c r="I4" s="20">
        <v>0</v>
      </c>
      <c r="K4" s="18">
        <v>1.2489724628634415</v>
      </c>
      <c r="L4" s="18">
        <f t="shared" ref="L4:L24" si="0">C4-K4</f>
        <v>0.2088348620415108</v>
      </c>
    </row>
    <row r="5" spans="1:12">
      <c r="A5" s="23" t="s">
        <v>27</v>
      </c>
      <c r="B5" s="24" t="s">
        <v>2</v>
      </c>
      <c r="C5" s="25">
        <f>F9/F10</f>
        <v>1.1268568587942533</v>
      </c>
      <c r="D5" s="19"/>
      <c r="E5" s="16" t="s">
        <v>104</v>
      </c>
      <c r="F5" s="68">
        <v>9316283</v>
      </c>
      <c r="G5" s="21"/>
      <c r="H5" s="22" t="s">
        <v>112</v>
      </c>
      <c r="I5" s="68">
        <f>13367709-9799035-41157</f>
        <v>3527517</v>
      </c>
      <c r="K5" s="25">
        <v>1.2765880098049001</v>
      </c>
      <c r="L5" s="25">
        <f t="shared" si="0"/>
        <v>-0.14973115101064671</v>
      </c>
    </row>
    <row r="6" spans="1:12">
      <c r="A6" s="16" t="s">
        <v>28</v>
      </c>
      <c r="B6" s="17" t="s">
        <v>14</v>
      </c>
      <c r="C6" s="18">
        <f>(F9-F11-I38)/F10</f>
        <v>0.69851884778457107</v>
      </c>
      <c r="D6" s="19"/>
      <c r="E6" s="16" t="s">
        <v>101</v>
      </c>
      <c r="F6" s="68">
        <v>4968822</v>
      </c>
      <c r="G6" s="21"/>
      <c r="H6" s="22" t="s">
        <v>29</v>
      </c>
      <c r="I6" s="20">
        <f>F9-F10</f>
        <v>1000850</v>
      </c>
      <c r="K6" s="18">
        <v>0.7876312098969267</v>
      </c>
      <c r="L6" s="18">
        <f t="shared" si="0"/>
        <v>-8.9112362112355625E-2</v>
      </c>
    </row>
    <row r="7" spans="1:12">
      <c r="A7" s="16" t="s">
        <v>30</v>
      </c>
      <c r="B7" s="17" t="s">
        <v>3</v>
      </c>
      <c r="C7" s="26">
        <f>F13/F14</f>
        <v>16.053634755752672</v>
      </c>
      <c r="D7" s="27"/>
      <c r="E7" s="16" t="s">
        <v>109</v>
      </c>
      <c r="F7" s="68">
        <v>9799035</v>
      </c>
      <c r="G7" s="21"/>
      <c r="H7" s="22" t="s">
        <v>31</v>
      </c>
      <c r="I7" s="68">
        <f>I47</f>
        <v>9845630</v>
      </c>
      <c r="K7" s="26">
        <v>-5.2465996179604613</v>
      </c>
      <c r="L7" s="26">
        <f t="shared" si="0"/>
        <v>21.300234373713131</v>
      </c>
    </row>
    <row r="8" spans="1:12">
      <c r="A8" s="23" t="s">
        <v>32</v>
      </c>
      <c r="B8" s="24" t="s">
        <v>18</v>
      </c>
      <c r="C8" s="29">
        <f>(F13+I39+I40)/F14</f>
        <v>34.549204097573238</v>
      </c>
      <c r="D8" s="27"/>
      <c r="E8" s="16" t="s">
        <v>121</v>
      </c>
      <c r="F8" s="20">
        <v>1337253</v>
      </c>
      <c r="G8" s="21"/>
      <c r="H8" s="22"/>
      <c r="I8" s="28"/>
      <c r="K8" s="29">
        <v>15.433143080711606</v>
      </c>
      <c r="L8" s="29">
        <f t="shared" si="0"/>
        <v>19.116061016861632</v>
      </c>
    </row>
    <row r="9" spans="1:12">
      <c r="A9" s="16" t="s">
        <v>33</v>
      </c>
      <c r="B9" s="30" t="s">
        <v>149</v>
      </c>
      <c r="C9" s="31">
        <f>F18/(SUM(I12:I15)/2)</f>
        <v>4.4113902895244568</v>
      </c>
      <c r="D9" s="32"/>
      <c r="E9" s="16" t="s">
        <v>34</v>
      </c>
      <c r="F9" s="68">
        <v>8890451</v>
      </c>
      <c r="G9" s="21"/>
      <c r="H9" s="22" t="s">
        <v>35</v>
      </c>
      <c r="I9" s="68">
        <v>1599878</v>
      </c>
      <c r="K9" s="31">
        <v>4.6767890640311336</v>
      </c>
      <c r="L9" s="31">
        <f>C9-K9</f>
        <v>-0.26539877450667682</v>
      </c>
    </row>
    <row r="10" spans="1:12">
      <c r="A10" s="33" t="s">
        <v>36</v>
      </c>
      <c r="B10" s="17" t="s">
        <v>129</v>
      </c>
      <c r="C10" s="26">
        <f>365/C9</f>
        <v>82.740355317630858</v>
      </c>
      <c r="D10" s="34"/>
      <c r="E10" s="35" t="s">
        <v>37</v>
      </c>
      <c r="F10" s="68">
        <v>7889601</v>
      </c>
      <c r="G10" s="21"/>
      <c r="H10" s="22" t="s">
        <v>38</v>
      </c>
      <c r="I10" s="68">
        <f>F14</f>
        <v>111383</v>
      </c>
      <c r="K10" s="26">
        <v>78.044999464951317</v>
      </c>
      <c r="L10" s="26">
        <f t="shared" si="0"/>
        <v>4.6953558526795405</v>
      </c>
    </row>
    <row r="11" spans="1:12">
      <c r="A11" s="33" t="s">
        <v>39</v>
      </c>
      <c r="B11" s="30" t="s">
        <v>142</v>
      </c>
      <c r="C11" s="26">
        <f>I18/(SUM(I16+I17)/2)</f>
        <v>2.8906505310246651</v>
      </c>
      <c r="D11" s="27"/>
      <c r="E11" s="16" t="s">
        <v>40</v>
      </c>
      <c r="F11" s="68">
        <v>3313086</v>
      </c>
      <c r="G11" s="21"/>
      <c r="H11" s="22" t="s">
        <v>41</v>
      </c>
      <c r="I11" s="68">
        <f>F13-F14</f>
        <v>1676719</v>
      </c>
      <c r="K11" s="26">
        <v>2.9937714403313924</v>
      </c>
      <c r="L11" s="26">
        <f t="shared" si="0"/>
        <v>-0.10312090930672735</v>
      </c>
    </row>
    <row r="12" spans="1:12">
      <c r="A12" s="16" t="s">
        <v>42</v>
      </c>
      <c r="B12" s="36" t="s">
        <v>143</v>
      </c>
      <c r="C12" s="37">
        <f>I18/(SUM(I27:I30)/2)</f>
        <v>6.0397802057971424</v>
      </c>
      <c r="D12" s="38"/>
      <c r="E12" s="16" t="s">
        <v>88</v>
      </c>
      <c r="F12" s="68">
        <v>222649</v>
      </c>
      <c r="G12" s="21"/>
      <c r="H12" s="22" t="s">
        <v>43</v>
      </c>
      <c r="I12" s="68">
        <v>258024</v>
      </c>
      <c r="K12" s="37">
        <v>5.7242227594407815</v>
      </c>
      <c r="L12" s="37">
        <f t="shared" si="0"/>
        <v>0.31555744635636085</v>
      </c>
    </row>
    <row r="13" spans="1:12">
      <c r="A13" s="16" t="s">
        <v>44</v>
      </c>
      <c r="B13" s="30" t="s">
        <v>4</v>
      </c>
      <c r="C13" s="26">
        <f>365/C11</f>
        <v>126.26915501633344</v>
      </c>
      <c r="D13" s="34"/>
      <c r="E13" s="33" t="s">
        <v>87</v>
      </c>
      <c r="F13" s="68">
        <f>1676719+111383</f>
        <v>1788102</v>
      </c>
      <c r="G13" s="21"/>
      <c r="H13" s="39" t="s">
        <v>45</v>
      </c>
      <c r="I13" s="68">
        <v>2644611</v>
      </c>
      <c r="K13" s="26">
        <v>121.91979490578503</v>
      </c>
      <c r="L13" s="26">
        <f t="shared" si="0"/>
        <v>4.3493601105484174</v>
      </c>
    </row>
    <row r="14" spans="1:12">
      <c r="A14" s="16" t="s">
        <v>103</v>
      </c>
      <c r="B14" s="40" t="s">
        <v>144</v>
      </c>
      <c r="C14" s="26">
        <f>F18/I23</f>
        <v>1.4795798386008086</v>
      </c>
      <c r="D14" s="27"/>
      <c r="E14" s="33" t="s">
        <v>46</v>
      </c>
      <c r="F14" s="68">
        <v>111383</v>
      </c>
      <c r="G14" s="21"/>
      <c r="H14" s="39" t="s">
        <v>47</v>
      </c>
      <c r="I14" s="68">
        <v>270338</v>
      </c>
      <c r="K14" s="26">
        <v>1.2150060780898926</v>
      </c>
      <c r="L14" s="26">
        <f t="shared" si="0"/>
        <v>0.26457376051091597</v>
      </c>
    </row>
    <row r="15" spans="1:12">
      <c r="A15" s="16" t="s">
        <v>48</v>
      </c>
      <c r="B15" s="17" t="s">
        <v>145</v>
      </c>
      <c r="C15" s="26">
        <f>F18/F16</f>
        <v>0.66174021844545972</v>
      </c>
      <c r="D15" s="27"/>
      <c r="E15" s="16" t="s">
        <v>49</v>
      </c>
      <c r="F15" s="68">
        <v>1331419</v>
      </c>
      <c r="G15" s="21"/>
      <c r="H15" s="39" t="s">
        <v>50</v>
      </c>
      <c r="I15" s="68">
        <v>3010926</v>
      </c>
      <c r="K15" s="26">
        <v>0.65745562973445326</v>
      </c>
      <c r="L15" s="26">
        <f t="shared" si="0"/>
        <v>4.284588711006454E-3</v>
      </c>
    </row>
    <row r="16" spans="1:12">
      <c r="A16" s="33" t="s">
        <v>51</v>
      </c>
      <c r="B16" s="17" t="s">
        <v>146</v>
      </c>
      <c r="C16" s="18">
        <f>(F15+I10*0.83)/F16</f>
        <v>6.9079477935436659E-2</v>
      </c>
      <c r="D16" s="19"/>
      <c r="E16" s="16" t="s">
        <v>52</v>
      </c>
      <c r="F16" s="68">
        <f>(F4+I22)/2</f>
        <v>20612010</v>
      </c>
      <c r="G16" s="21"/>
      <c r="H16" s="22" t="s">
        <v>53</v>
      </c>
      <c r="I16" s="68">
        <v>3067705</v>
      </c>
      <c r="K16" s="18">
        <v>-1.8047453480236827E-2</v>
      </c>
      <c r="L16" s="18">
        <f t="shared" si="0"/>
        <v>8.7126931415673486E-2</v>
      </c>
    </row>
    <row r="17" spans="1:12">
      <c r="A17" s="16" t="s">
        <v>54</v>
      </c>
      <c r="B17" s="17" t="s">
        <v>147</v>
      </c>
      <c r="C17" s="18">
        <f>F15/F17</f>
        <v>0.15050396177882427</v>
      </c>
      <c r="D17" s="19"/>
      <c r="E17" s="16" t="s">
        <v>55</v>
      </c>
      <c r="F17" s="68">
        <f>(F5+I21)/2</f>
        <v>8846405</v>
      </c>
      <c r="G17" s="21"/>
      <c r="H17" s="41" t="s">
        <v>56</v>
      </c>
      <c r="I17" s="68">
        <v>3664622.4782377849</v>
      </c>
      <c r="K17" s="18">
        <v>-4.9121452930691832E-2</v>
      </c>
      <c r="L17" s="18">
        <f t="shared" si="0"/>
        <v>0.19962541470951611</v>
      </c>
    </row>
    <row r="18" spans="1:12">
      <c r="A18" s="16" t="s">
        <v>57</v>
      </c>
      <c r="B18" s="30" t="s">
        <v>84</v>
      </c>
      <c r="C18" s="18">
        <f>I9/I19</f>
        <v>0.96484907403610254</v>
      </c>
      <c r="D18" s="19"/>
      <c r="E18" s="16" t="s">
        <v>58</v>
      </c>
      <c r="F18" s="68">
        <v>13639796</v>
      </c>
      <c r="G18" s="21"/>
      <c r="H18" s="22" t="s">
        <v>59</v>
      </c>
      <c r="I18" s="68">
        <v>9730403</v>
      </c>
      <c r="K18" s="18">
        <v>0.82572712952397953</v>
      </c>
      <c r="L18" s="18">
        <f t="shared" si="0"/>
        <v>0.13912194451212301</v>
      </c>
    </row>
    <row r="19" spans="1:12">
      <c r="A19" s="16" t="s">
        <v>60</v>
      </c>
      <c r="B19" s="30" t="s">
        <v>85</v>
      </c>
      <c r="C19" s="18">
        <f>I11/I19</f>
        <v>1.0111900873496229</v>
      </c>
      <c r="D19" s="19"/>
      <c r="E19" s="16" t="s">
        <v>61</v>
      </c>
      <c r="F19" s="68">
        <v>165816</v>
      </c>
      <c r="G19" s="21"/>
      <c r="H19" s="22" t="s">
        <v>62</v>
      </c>
      <c r="I19" s="68">
        <v>1658164</v>
      </c>
      <c r="K19" s="18">
        <v>-0.32737533802446561</v>
      </c>
      <c r="L19" s="18">
        <f t="shared" si="0"/>
        <v>1.3385654253740884</v>
      </c>
    </row>
    <row r="20" spans="1:12">
      <c r="A20" s="16" t="s">
        <v>63</v>
      </c>
      <c r="B20" s="40" t="s">
        <v>5</v>
      </c>
      <c r="C20" s="18">
        <f>F15/F18</f>
        <v>9.7612823534897447E-2</v>
      </c>
      <c r="D20" s="19"/>
      <c r="E20" s="16" t="s">
        <v>64</v>
      </c>
      <c r="F20" s="82">
        <v>2690353</v>
      </c>
      <c r="G20" s="21"/>
      <c r="H20" s="22" t="s">
        <v>105</v>
      </c>
      <c r="I20" s="68">
        <v>8638356</v>
      </c>
      <c r="K20" s="18">
        <v>-3.2480406700189729E-2</v>
      </c>
      <c r="L20" s="18">
        <f t="shared" si="0"/>
        <v>0.13009323023508718</v>
      </c>
    </row>
    <row r="21" spans="1:12">
      <c r="A21" s="33" t="s">
        <v>65</v>
      </c>
      <c r="B21" s="17" t="s">
        <v>6</v>
      </c>
      <c r="C21" s="26">
        <f>F8/F19</f>
        <v>8.0646801273700977</v>
      </c>
      <c r="D21" s="27"/>
      <c r="E21" s="16" t="s">
        <v>66</v>
      </c>
      <c r="F21" s="20">
        <f>SUM(F22:F26)</f>
        <v>11837470</v>
      </c>
      <c r="G21" s="21"/>
      <c r="H21" s="22" t="s">
        <v>106</v>
      </c>
      <c r="I21" s="68">
        <v>8376527</v>
      </c>
      <c r="K21" s="26">
        <v>-2.3558643315482222</v>
      </c>
      <c r="L21" s="26">
        <f t="shared" si="0"/>
        <v>10.42054445891832</v>
      </c>
    </row>
    <row r="22" spans="1:12">
      <c r="A22" s="16" t="s">
        <v>67</v>
      </c>
      <c r="B22" s="17" t="s">
        <v>148</v>
      </c>
      <c r="C22" s="18">
        <f>F20/F10</f>
        <v>0.34099988072907617</v>
      </c>
      <c r="D22" s="19"/>
      <c r="E22" s="35" t="s">
        <v>15</v>
      </c>
      <c r="F22" s="68">
        <v>2695934</v>
      </c>
      <c r="G22" s="21"/>
      <c r="H22" s="22" t="s">
        <v>68</v>
      </c>
      <c r="I22" s="68">
        <v>18965860</v>
      </c>
      <c r="K22" s="18">
        <v>0.28989685908247381</v>
      </c>
      <c r="L22" s="18">
        <f t="shared" si="0"/>
        <v>5.1103021646602353E-2</v>
      </c>
    </row>
    <row r="23" spans="1:12">
      <c r="A23" s="16" t="s">
        <v>69</v>
      </c>
      <c r="B23" s="17" t="s">
        <v>7</v>
      </c>
      <c r="C23" s="18">
        <f>F21/F27</f>
        <v>0.77710212483728414</v>
      </c>
      <c r="D23" s="19"/>
      <c r="E23" s="35" t="s">
        <v>16</v>
      </c>
      <c r="F23" s="68">
        <v>1847345</v>
      </c>
      <c r="G23" s="21"/>
      <c r="H23" s="22" t="s">
        <v>110</v>
      </c>
      <c r="I23" s="68">
        <f>(F7+I20)/2</f>
        <v>9218695.5</v>
      </c>
      <c r="K23" s="18">
        <v>0.64955719071380458</v>
      </c>
      <c r="L23" s="18">
        <f t="shared" si="0"/>
        <v>0.12754493412347956</v>
      </c>
    </row>
    <row r="24" spans="1:12">
      <c r="A24" s="16" t="s">
        <v>70</v>
      </c>
      <c r="B24" s="17" t="s">
        <v>86</v>
      </c>
      <c r="C24" s="18">
        <f>(F20-I24)/SUM(I3:I6)</f>
        <v>8.1343013019235411E-2</v>
      </c>
      <c r="D24" s="19"/>
      <c r="E24" s="35" t="s">
        <v>19</v>
      </c>
      <c r="F24" s="68">
        <v>1713676</v>
      </c>
      <c r="G24" s="21"/>
      <c r="H24" s="22" t="s">
        <v>71</v>
      </c>
      <c r="I24" s="20">
        <f>F42</f>
        <v>497449</v>
      </c>
      <c r="K24" s="18">
        <v>4.762271561960784E-2</v>
      </c>
      <c r="L24" s="18">
        <f t="shared" si="0"/>
        <v>3.372029739962757E-2</v>
      </c>
    </row>
    <row r="25" spans="1:12">
      <c r="A25" s="72" t="s">
        <v>113</v>
      </c>
      <c r="B25" s="73" t="s">
        <v>114</v>
      </c>
      <c r="C25" s="26">
        <f>(F18-I7)/I9</f>
        <v>2.3715345795116876</v>
      </c>
      <c r="D25" s="27"/>
      <c r="E25" s="35" t="s">
        <v>74</v>
      </c>
      <c r="F25" s="68">
        <v>2890162</v>
      </c>
      <c r="G25" s="21"/>
      <c r="H25" s="22" t="s">
        <v>73</v>
      </c>
      <c r="I25" s="68">
        <v>1979508</v>
      </c>
      <c r="K25" s="26">
        <v>1.0677709939023106</v>
      </c>
      <c r="L25" s="26">
        <f>C26-K25</f>
        <v>7.0582799615586111E-3</v>
      </c>
    </row>
    <row r="26" spans="1:12">
      <c r="A26" s="16" t="s">
        <v>72</v>
      </c>
      <c r="B26" s="17" t="s">
        <v>8</v>
      </c>
      <c r="C26" s="26">
        <f>I9/(I9-I10)</f>
        <v>1.0748292738638692</v>
      </c>
      <c r="D26" s="27"/>
      <c r="E26" s="35" t="s">
        <v>140</v>
      </c>
      <c r="F26" s="68">
        <f>F20</f>
        <v>2690353</v>
      </c>
      <c r="G26" s="21"/>
      <c r="H26" s="22" t="s">
        <v>75</v>
      </c>
      <c r="I26" s="82">
        <v>0</v>
      </c>
      <c r="K26" s="42"/>
      <c r="L26" s="42"/>
    </row>
    <row r="27" spans="1:12">
      <c r="A27" s="16"/>
      <c r="B27" s="17"/>
      <c r="C27" s="43"/>
      <c r="D27" s="44"/>
      <c r="E27" s="33" t="s">
        <v>76</v>
      </c>
      <c r="F27" s="20">
        <f>SUM(F28:F42)</f>
        <v>15232837</v>
      </c>
      <c r="G27" s="21"/>
      <c r="H27" s="22" t="s">
        <v>77</v>
      </c>
      <c r="I27" s="68">
        <v>739823</v>
      </c>
      <c r="K27" s="43"/>
      <c r="L27" s="43"/>
    </row>
    <row r="28" spans="1:12">
      <c r="A28" s="16"/>
      <c r="B28" s="17"/>
      <c r="C28" s="43"/>
      <c r="D28" s="44"/>
      <c r="E28" s="35" t="s">
        <v>91</v>
      </c>
      <c r="F28" s="69">
        <v>1982520</v>
      </c>
      <c r="G28" s="45"/>
      <c r="H28" s="22" t="s">
        <v>78</v>
      </c>
      <c r="I28" s="68">
        <v>865532</v>
      </c>
      <c r="K28" s="43"/>
      <c r="L28" s="43"/>
    </row>
    <row r="29" spans="1:12">
      <c r="A29" s="16"/>
      <c r="B29" s="17"/>
      <c r="C29" s="43"/>
      <c r="D29" s="44"/>
      <c r="E29" s="35" t="s">
        <v>16</v>
      </c>
      <c r="F29" s="69">
        <v>2268581</v>
      </c>
      <c r="G29" s="21"/>
      <c r="H29" s="22" t="s">
        <v>79</v>
      </c>
      <c r="I29" s="68">
        <v>883263</v>
      </c>
      <c r="K29" s="43"/>
      <c r="L29" s="43"/>
    </row>
    <row r="30" spans="1:12">
      <c r="A30" s="16"/>
      <c r="B30" s="17"/>
      <c r="C30" s="43"/>
      <c r="D30" s="44"/>
      <c r="E30" s="35" t="s">
        <v>20</v>
      </c>
      <c r="F30" s="69">
        <v>2223192</v>
      </c>
      <c r="G30" s="21"/>
      <c r="H30" s="22" t="s">
        <v>80</v>
      </c>
      <c r="I30" s="68">
        <v>733487</v>
      </c>
      <c r="K30" s="43"/>
      <c r="L30" s="43"/>
    </row>
    <row r="31" spans="1:12" ht="15.75">
      <c r="A31" s="291" t="s">
        <v>9</v>
      </c>
      <c r="B31" s="292"/>
      <c r="C31" s="293"/>
      <c r="D31" s="46"/>
      <c r="E31" s="35" t="s">
        <v>89</v>
      </c>
      <c r="F31" s="69">
        <v>2449057</v>
      </c>
      <c r="G31" s="21"/>
      <c r="H31" s="74"/>
      <c r="I31" s="75"/>
      <c r="K31" s="66"/>
      <c r="L31" s="66"/>
    </row>
    <row r="32" spans="1:12">
      <c r="A32" s="48" t="s">
        <v>10</v>
      </c>
      <c r="B32" s="30"/>
      <c r="C32" s="49"/>
      <c r="D32" s="19"/>
      <c r="E32" s="35" t="s">
        <v>139</v>
      </c>
      <c r="F32" s="69">
        <f>I25+I26</f>
        <v>1979508</v>
      </c>
      <c r="G32" s="45"/>
      <c r="H32" s="74"/>
      <c r="I32" s="75"/>
      <c r="K32" s="49"/>
      <c r="L32" s="49"/>
    </row>
    <row r="33" spans="1:12">
      <c r="A33" s="50" t="s">
        <v>11</v>
      </c>
      <c r="B33" s="51"/>
      <c r="C33" s="49"/>
      <c r="D33" s="19"/>
      <c r="E33" s="35" t="s">
        <v>92</v>
      </c>
      <c r="F33" s="68">
        <v>161590</v>
      </c>
      <c r="G33" s="21"/>
      <c r="H33" s="74"/>
      <c r="I33" s="75"/>
      <c r="K33" s="49"/>
      <c r="L33" s="49"/>
    </row>
    <row r="34" spans="1:12">
      <c r="A34" s="52" t="s">
        <v>12</v>
      </c>
      <c r="B34" s="51"/>
      <c r="C34" s="49"/>
      <c r="D34" s="19"/>
      <c r="E34" s="35" t="s">
        <v>93</v>
      </c>
      <c r="F34" s="68">
        <v>698218</v>
      </c>
      <c r="G34" s="21"/>
      <c r="H34" s="41"/>
      <c r="I34" s="47"/>
      <c r="K34" s="49"/>
      <c r="L34" s="49"/>
    </row>
    <row r="35" spans="1:12">
      <c r="A35" s="53" t="s">
        <v>13</v>
      </c>
      <c r="B35" s="30"/>
      <c r="C35" s="49"/>
      <c r="D35" s="19"/>
      <c r="E35" s="35" t="s">
        <v>19</v>
      </c>
      <c r="F35" s="68">
        <v>205576</v>
      </c>
      <c r="G35" s="21"/>
      <c r="H35" s="41"/>
      <c r="I35" s="47"/>
      <c r="K35" s="49"/>
      <c r="L35" s="49"/>
    </row>
    <row r="36" spans="1:12">
      <c r="A36" s="16"/>
      <c r="B36" s="30"/>
      <c r="C36" s="49"/>
      <c r="D36" s="19"/>
      <c r="E36" s="35" t="s">
        <v>89</v>
      </c>
      <c r="F36" s="68">
        <v>99630</v>
      </c>
      <c r="G36" s="21"/>
      <c r="H36" s="41" t="s">
        <v>81</v>
      </c>
      <c r="I36" s="47">
        <f>SUM(I32:I35)</f>
        <v>0</v>
      </c>
      <c r="K36" s="49"/>
      <c r="L36" s="49"/>
    </row>
    <row r="37" spans="1:12">
      <c r="A37" s="16"/>
      <c r="B37" s="30"/>
      <c r="C37" s="49"/>
      <c r="D37" s="19"/>
      <c r="E37" s="35" t="s">
        <v>138</v>
      </c>
      <c r="F37" s="68">
        <v>611393</v>
      </c>
      <c r="G37" s="21"/>
      <c r="H37" s="22"/>
      <c r="I37" s="47"/>
      <c r="K37" s="49"/>
      <c r="L37" s="49"/>
    </row>
    <row r="38" spans="1:12">
      <c r="A38" s="16"/>
      <c r="B38" s="30"/>
      <c r="C38" s="49"/>
      <c r="D38" s="19"/>
      <c r="E38" s="35" t="s">
        <v>94</v>
      </c>
      <c r="F38" s="68">
        <v>596939</v>
      </c>
      <c r="G38" s="54"/>
      <c r="H38" s="22" t="s">
        <v>82</v>
      </c>
      <c r="I38" s="69">
        <v>66330</v>
      </c>
      <c r="K38" s="49"/>
      <c r="L38" s="49"/>
    </row>
    <row r="39" spans="1:12">
      <c r="A39" s="16"/>
      <c r="B39" s="30"/>
      <c r="C39" s="49"/>
      <c r="D39" s="19"/>
      <c r="E39" s="35" t="s">
        <v>93</v>
      </c>
      <c r="F39" s="71">
        <v>630102</v>
      </c>
      <c r="G39" s="45"/>
      <c r="H39" s="22" t="s">
        <v>120</v>
      </c>
      <c r="I39" s="69">
        <v>2038115</v>
      </c>
      <c r="K39" s="49"/>
      <c r="L39" s="49"/>
    </row>
    <row r="40" spans="1:12">
      <c r="A40" s="16"/>
      <c r="B40" s="30"/>
      <c r="C40" s="49"/>
      <c r="D40" s="19"/>
      <c r="E40" s="35" t="s">
        <v>19</v>
      </c>
      <c r="F40" s="69">
        <v>663266</v>
      </c>
      <c r="G40" s="45"/>
      <c r="H40" s="22" t="s">
        <v>17</v>
      </c>
      <c r="I40" s="69">
        <v>21977</v>
      </c>
      <c r="K40" s="49"/>
      <c r="L40" s="49"/>
    </row>
    <row r="41" spans="1:12">
      <c r="A41" s="16"/>
      <c r="B41" s="30"/>
      <c r="C41" s="49"/>
      <c r="D41" s="19"/>
      <c r="E41" s="35" t="s">
        <v>89</v>
      </c>
      <c r="F41" s="69">
        <v>165816</v>
      </c>
      <c r="G41" s="55"/>
      <c r="H41" s="56"/>
      <c r="I41" s="57"/>
      <c r="K41" s="49"/>
      <c r="L41" s="49"/>
    </row>
    <row r="42" spans="1:12">
      <c r="A42" s="58"/>
      <c r="B42" s="59"/>
      <c r="C42" s="60"/>
      <c r="D42" s="61"/>
      <c r="E42" s="59" t="s">
        <v>140</v>
      </c>
      <c r="F42" s="70">
        <v>497449</v>
      </c>
      <c r="G42" s="62"/>
      <c r="K42" s="60"/>
      <c r="L42" s="60"/>
    </row>
    <row r="43" spans="1:12">
      <c r="F43" s="5"/>
      <c r="G43" s="5"/>
      <c r="H43" s="3" t="s">
        <v>115</v>
      </c>
    </row>
    <row r="44" spans="1:12">
      <c r="E44" s="63"/>
      <c r="F44" s="5"/>
      <c r="G44" s="5"/>
      <c r="H44" s="3" t="s">
        <v>116</v>
      </c>
      <c r="I44" s="5">
        <v>9730403</v>
      </c>
    </row>
    <row r="45" spans="1:12">
      <c r="E45" s="63"/>
      <c r="F45" s="5"/>
      <c r="G45" s="5"/>
      <c r="H45" s="3" t="s">
        <v>117</v>
      </c>
      <c r="I45" s="5">
        <v>2175319</v>
      </c>
    </row>
    <row r="46" spans="1:12">
      <c r="E46" s="63"/>
      <c r="F46" s="5"/>
      <c r="G46" s="5"/>
      <c r="H46" s="3" t="s">
        <v>118</v>
      </c>
      <c r="I46" s="5">
        <f>I39+I40</f>
        <v>2060092</v>
      </c>
    </row>
    <row r="47" spans="1:12" ht="15" thickBot="1">
      <c r="E47" s="63"/>
      <c r="F47" s="5"/>
      <c r="G47" s="5"/>
      <c r="H47" s="3" t="s">
        <v>119</v>
      </c>
      <c r="I47" s="76">
        <f>I44+I45-I46</f>
        <v>9845630</v>
      </c>
    </row>
    <row r="48" spans="1:12" ht="15" thickTop="1">
      <c r="E48" s="63"/>
      <c r="F48" s="5"/>
      <c r="G48" s="5"/>
    </row>
    <row r="59" spans="2:2">
      <c r="B59" s="64"/>
    </row>
    <row r="60" spans="2:2">
      <c r="B60" s="65"/>
    </row>
    <row r="61" spans="2:2">
      <c r="B61" s="64"/>
    </row>
  </sheetData>
  <mergeCells count="1">
    <mergeCell ref="A31:C31"/>
  </mergeCells>
  <phoneticPr fontId="3" type="noConversion"/>
  <printOptions horizontalCentered="1"/>
  <pageMargins left="0.39370078740157483" right="0" top="1.1811023622047245" bottom="0.47244094488188981" header="0.59055118110236227" footer="0.15748031496062992"/>
  <pageSetup paperSize="9" scale="78" orientation="landscape" r:id="rId1"/>
  <headerFooter alignWithMargins="0">
    <oddHeader>&amp;L
帝寶101Q2財務比率(合併)&amp;RPreparer: DY 2012/8/17
Reviewer: KAY 2012/8/20 CH 2012/8/20 AMMY 2012/8/20
2320-2: &amp;P/&amp;N</oddHeader>
    <oddFooter>&amp;L帝寶工業股份有限公司 
Period End: 2012/6/30</oddFooter>
  </headerFooter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1"/>
  <sheetViews>
    <sheetView view="pageBreakPreview" topLeftCell="C1" zoomScale="110" zoomScaleNormal="90" zoomScaleSheetLayoutView="110" workbookViewId="0">
      <pane ySplit="2" topLeftCell="A21" activePane="bottomLeft" state="frozen"/>
      <selection activeCell="I39" sqref="I39"/>
      <selection pane="bottomLeft" activeCell="I39" sqref="I39"/>
    </sheetView>
  </sheetViews>
  <sheetFormatPr defaultColWidth="31.28515625" defaultRowHeight="14.25"/>
  <cols>
    <col min="1" max="1" width="26.42578125" style="3" customWidth="1"/>
    <col min="2" max="2" width="23.140625" style="1" bestFit="1" customWidth="1"/>
    <col min="3" max="3" width="8.7109375" style="2" bestFit="1" customWidth="1"/>
    <col min="4" max="4" width="2.5703125" style="2" customWidth="1"/>
    <col min="5" max="5" width="32.28515625" style="3" customWidth="1"/>
    <col min="6" max="6" width="13" style="4" bestFit="1" customWidth="1"/>
    <col min="7" max="7" width="1" style="4" customWidth="1"/>
    <col min="8" max="8" width="33.28515625" style="3" bestFit="1" customWidth="1"/>
    <col min="9" max="9" width="13" style="5" bestFit="1" customWidth="1"/>
    <col min="10" max="10" width="31.28515625" style="6"/>
    <col min="11" max="12" width="8.7109375" style="2" bestFit="1" customWidth="1"/>
    <col min="13" max="256" width="31.28515625" style="3"/>
    <col min="257" max="257" width="26.42578125" style="3" customWidth="1"/>
    <col min="258" max="258" width="23.140625" style="3" bestFit="1" customWidth="1"/>
    <col min="259" max="259" width="8.7109375" style="3" bestFit="1" customWidth="1"/>
    <col min="260" max="260" width="2.5703125" style="3" customWidth="1"/>
    <col min="261" max="261" width="32.28515625" style="3" customWidth="1"/>
    <col min="262" max="262" width="13" style="3" bestFit="1" customWidth="1"/>
    <col min="263" max="263" width="1" style="3" customWidth="1"/>
    <col min="264" max="264" width="33.28515625" style="3" bestFit="1" customWidth="1"/>
    <col min="265" max="265" width="13" style="3" bestFit="1" customWidth="1"/>
    <col min="266" max="266" width="31.28515625" style="3"/>
    <col min="267" max="268" width="8.7109375" style="3" bestFit="1" customWidth="1"/>
    <col min="269" max="512" width="31.28515625" style="3"/>
    <col min="513" max="513" width="26.42578125" style="3" customWidth="1"/>
    <col min="514" max="514" width="23.140625" style="3" bestFit="1" customWidth="1"/>
    <col min="515" max="515" width="8.7109375" style="3" bestFit="1" customWidth="1"/>
    <col min="516" max="516" width="2.5703125" style="3" customWidth="1"/>
    <col min="517" max="517" width="32.28515625" style="3" customWidth="1"/>
    <col min="518" max="518" width="13" style="3" bestFit="1" customWidth="1"/>
    <col min="519" max="519" width="1" style="3" customWidth="1"/>
    <col min="520" max="520" width="33.28515625" style="3" bestFit="1" customWidth="1"/>
    <col min="521" max="521" width="13" style="3" bestFit="1" customWidth="1"/>
    <col min="522" max="522" width="31.28515625" style="3"/>
    <col min="523" max="524" width="8.7109375" style="3" bestFit="1" customWidth="1"/>
    <col min="525" max="768" width="31.28515625" style="3"/>
    <col min="769" max="769" width="26.42578125" style="3" customWidth="1"/>
    <col min="770" max="770" width="23.140625" style="3" bestFit="1" customWidth="1"/>
    <col min="771" max="771" width="8.7109375" style="3" bestFit="1" customWidth="1"/>
    <col min="772" max="772" width="2.5703125" style="3" customWidth="1"/>
    <col min="773" max="773" width="32.28515625" style="3" customWidth="1"/>
    <col min="774" max="774" width="13" style="3" bestFit="1" customWidth="1"/>
    <col min="775" max="775" width="1" style="3" customWidth="1"/>
    <col min="776" max="776" width="33.28515625" style="3" bestFit="1" customWidth="1"/>
    <col min="777" max="777" width="13" style="3" bestFit="1" customWidth="1"/>
    <col min="778" max="778" width="31.28515625" style="3"/>
    <col min="779" max="780" width="8.7109375" style="3" bestFit="1" customWidth="1"/>
    <col min="781" max="1024" width="31.28515625" style="3"/>
    <col min="1025" max="1025" width="26.42578125" style="3" customWidth="1"/>
    <col min="1026" max="1026" width="23.140625" style="3" bestFit="1" customWidth="1"/>
    <col min="1027" max="1027" width="8.7109375" style="3" bestFit="1" customWidth="1"/>
    <col min="1028" max="1028" width="2.5703125" style="3" customWidth="1"/>
    <col min="1029" max="1029" width="32.28515625" style="3" customWidth="1"/>
    <col min="1030" max="1030" width="13" style="3" bestFit="1" customWidth="1"/>
    <col min="1031" max="1031" width="1" style="3" customWidth="1"/>
    <col min="1032" max="1032" width="33.28515625" style="3" bestFit="1" customWidth="1"/>
    <col min="1033" max="1033" width="13" style="3" bestFit="1" customWidth="1"/>
    <col min="1034" max="1034" width="31.28515625" style="3"/>
    <col min="1035" max="1036" width="8.7109375" style="3" bestFit="1" customWidth="1"/>
    <col min="1037" max="1280" width="31.28515625" style="3"/>
    <col min="1281" max="1281" width="26.42578125" style="3" customWidth="1"/>
    <col min="1282" max="1282" width="23.140625" style="3" bestFit="1" customWidth="1"/>
    <col min="1283" max="1283" width="8.7109375" style="3" bestFit="1" customWidth="1"/>
    <col min="1284" max="1284" width="2.5703125" style="3" customWidth="1"/>
    <col min="1285" max="1285" width="32.28515625" style="3" customWidth="1"/>
    <col min="1286" max="1286" width="13" style="3" bestFit="1" customWidth="1"/>
    <col min="1287" max="1287" width="1" style="3" customWidth="1"/>
    <col min="1288" max="1288" width="33.28515625" style="3" bestFit="1" customWidth="1"/>
    <col min="1289" max="1289" width="13" style="3" bestFit="1" customWidth="1"/>
    <col min="1290" max="1290" width="31.28515625" style="3"/>
    <col min="1291" max="1292" width="8.7109375" style="3" bestFit="1" customWidth="1"/>
    <col min="1293" max="1536" width="31.28515625" style="3"/>
    <col min="1537" max="1537" width="26.42578125" style="3" customWidth="1"/>
    <col min="1538" max="1538" width="23.140625" style="3" bestFit="1" customWidth="1"/>
    <col min="1539" max="1539" width="8.7109375" style="3" bestFit="1" customWidth="1"/>
    <col min="1540" max="1540" width="2.5703125" style="3" customWidth="1"/>
    <col min="1541" max="1541" width="32.28515625" style="3" customWidth="1"/>
    <col min="1542" max="1542" width="13" style="3" bestFit="1" customWidth="1"/>
    <col min="1543" max="1543" width="1" style="3" customWidth="1"/>
    <col min="1544" max="1544" width="33.28515625" style="3" bestFit="1" customWidth="1"/>
    <col min="1545" max="1545" width="13" style="3" bestFit="1" customWidth="1"/>
    <col min="1546" max="1546" width="31.28515625" style="3"/>
    <col min="1547" max="1548" width="8.7109375" style="3" bestFit="1" customWidth="1"/>
    <col min="1549" max="1792" width="31.28515625" style="3"/>
    <col min="1793" max="1793" width="26.42578125" style="3" customWidth="1"/>
    <col min="1794" max="1794" width="23.140625" style="3" bestFit="1" customWidth="1"/>
    <col min="1795" max="1795" width="8.7109375" style="3" bestFit="1" customWidth="1"/>
    <col min="1796" max="1796" width="2.5703125" style="3" customWidth="1"/>
    <col min="1797" max="1797" width="32.28515625" style="3" customWidth="1"/>
    <col min="1798" max="1798" width="13" style="3" bestFit="1" customWidth="1"/>
    <col min="1799" max="1799" width="1" style="3" customWidth="1"/>
    <col min="1800" max="1800" width="33.28515625" style="3" bestFit="1" customWidth="1"/>
    <col min="1801" max="1801" width="13" style="3" bestFit="1" customWidth="1"/>
    <col min="1802" max="1802" width="31.28515625" style="3"/>
    <col min="1803" max="1804" width="8.7109375" style="3" bestFit="1" customWidth="1"/>
    <col min="1805" max="2048" width="31.28515625" style="3"/>
    <col min="2049" max="2049" width="26.42578125" style="3" customWidth="1"/>
    <col min="2050" max="2050" width="23.140625" style="3" bestFit="1" customWidth="1"/>
    <col min="2051" max="2051" width="8.7109375" style="3" bestFit="1" customWidth="1"/>
    <col min="2052" max="2052" width="2.5703125" style="3" customWidth="1"/>
    <col min="2053" max="2053" width="32.28515625" style="3" customWidth="1"/>
    <col min="2054" max="2054" width="13" style="3" bestFit="1" customWidth="1"/>
    <col min="2055" max="2055" width="1" style="3" customWidth="1"/>
    <col min="2056" max="2056" width="33.28515625" style="3" bestFit="1" customWidth="1"/>
    <col min="2057" max="2057" width="13" style="3" bestFit="1" customWidth="1"/>
    <col min="2058" max="2058" width="31.28515625" style="3"/>
    <col min="2059" max="2060" width="8.7109375" style="3" bestFit="1" customWidth="1"/>
    <col min="2061" max="2304" width="31.28515625" style="3"/>
    <col min="2305" max="2305" width="26.42578125" style="3" customWidth="1"/>
    <col min="2306" max="2306" width="23.140625" style="3" bestFit="1" customWidth="1"/>
    <col min="2307" max="2307" width="8.7109375" style="3" bestFit="1" customWidth="1"/>
    <col min="2308" max="2308" width="2.5703125" style="3" customWidth="1"/>
    <col min="2309" max="2309" width="32.28515625" style="3" customWidth="1"/>
    <col min="2310" max="2310" width="13" style="3" bestFit="1" customWidth="1"/>
    <col min="2311" max="2311" width="1" style="3" customWidth="1"/>
    <col min="2312" max="2312" width="33.28515625" style="3" bestFit="1" customWidth="1"/>
    <col min="2313" max="2313" width="13" style="3" bestFit="1" customWidth="1"/>
    <col min="2314" max="2314" width="31.28515625" style="3"/>
    <col min="2315" max="2316" width="8.7109375" style="3" bestFit="1" customWidth="1"/>
    <col min="2317" max="2560" width="31.28515625" style="3"/>
    <col min="2561" max="2561" width="26.42578125" style="3" customWidth="1"/>
    <col min="2562" max="2562" width="23.140625" style="3" bestFit="1" customWidth="1"/>
    <col min="2563" max="2563" width="8.7109375" style="3" bestFit="1" customWidth="1"/>
    <col min="2564" max="2564" width="2.5703125" style="3" customWidth="1"/>
    <col min="2565" max="2565" width="32.28515625" style="3" customWidth="1"/>
    <col min="2566" max="2566" width="13" style="3" bestFit="1" customWidth="1"/>
    <col min="2567" max="2567" width="1" style="3" customWidth="1"/>
    <col min="2568" max="2568" width="33.28515625" style="3" bestFit="1" customWidth="1"/>
    <col min="2569" max="2569" width="13" style="3" bestFit="1" customWidth="1"/>
    <col min="2570" max="2570" width="31.28515625" style="3"/>
    <col min="2571" max="2572" width="8.7109375" style="3" bestFit="1" customWidth="1"/>
    <col min="2573" max="2816" width="31.28515625" style="3"/>
    <col min="2817" max="2817" width="26.42578125" style="3" customWidth="1"/>
    <col min="2818" max="2818" width="23.140625" style="3" bestFit="1" customWidth="1"/>
    <col min="2819" max="2819" width="8.7109375" style="3" bestFit="1" customWidth="1"/>
    <col min="2820" max="2820" width="2.5703125" style="3" customWidth="1"/>
    <col min="2821" max="2821" width="32.28515625" style="3" customWidth="1"/>
    <col min="2822" max="2822" width="13" style="3" bestFit="1" customWidth="1"/>
    <col min="2823" max="2823" width="1" style="3" customWidth="1"/>
    <col min="2824" max="2824" width="33.28515625" style="3" bestFit="1" customWidth="1"/>
    <col min="2825" max="2825" width="13" style="3" bestFit="1" customWidth="1"/>
    <col min="2826" max="2826" width="31.28515625" style="3"/>
    <col min="2827" max="2828" width="8.7109375" style="3" bestFit="1" customWidth="1"/>
    <col min="2829" max="3072" width="31.28515625" style="3"/>
    <col min="3073" max="3073" width="26.42578125" style="3" customWidth="1"/>
    <col min="3074" max="3074" width="23.140625" style="3" bestFit="1" customWidth="1"/>
    <col min="3075" max="3075" width="8.7109375" style="3" bestFit="1" customWidth="1"/>
    <col min="3076" max="3076" width="2.5703125" style="3" customWidth="1"/>
    <col min="3077" max="3077" width="32.28515625" style="3" customWidth="1"/>
    <col min="3078" max="3078" width="13" style="3" bestFit="1" customWidth="1"/>
    <col min="3079" max="3079" width="1" style="3" customWidth="1"/>
    <col min="3080" max="3080" width="33.28515625" style="3" bestFit="1" customWidth="1"/>
    <col min="3081" max="3081" width="13" style="3" bestFit="1" customWidth="1"/>
    <col min="3082" max="3082" width="31.28515625" style="3"/>
    <col min="3083" max="3084" width="8.7109375" style="3" bestFit="1" customWidth="1"/>
    <col min="3085" max="3328" width="31.28515625" style="3"/>
    <col min="3329" max="3329" width="26.42578125" style="3" customWidth="1"/>
    <col min="3330" max="3330" width="23.140625" style="3" bestFit="1" customWidth="1"/>
    <col min="3331" max="3331" width="8.7109375" style="3" bestFit="1" customWidth="1"/>
    <col min="3332" max="3332" width="2.5703125" style="3" customWidth="1"/>
    <col min="3333" max="3333" width="32.28515625" style="3" customWidth="1"/>
    <col min="3334" max="3334" width="13" style="3" bestFit="1" customWidth="1"/>
    <col min="3335" max="3335" width="1" style="3" customWidth="1"/>
    <col min="3336" max="3336" width="33.28515625" style="3" bestFit="1" customWidth="1"/>
    <col min="3337" max="3337" width="13" style="3" bestFit="1" customWidth="1"/>
    <col min="3338" max="3338" width="31.28515625" style="3"/>
    <col min="3339" max="3340" width="8.7109375" style="3" bestFit="1" customWidth="1"/>
    <col min="3341" max="3584" width="31.28515625" style="3"/>
    <col min="3585" max="3585" width="26.42578125" style="3" customWidth="1"/>
    <col min="3586" max="3586" width="23.140625" style="3" bestFit="1" customWidth="1"/>
    <col min="3587" max="3587" width="8.7109375" style="3" bestFit="1" customWidth="1"/>
    <col min="3588" max="3588" width="2.5703125" style="3" customWidth="1"/>
    <col min="3589" max="3589" width="32.28515625" style="3" customWidth="1"/>
    <col min="3590" max="3590" width="13" style="3" bestFit="1" customWidth="1"/>
    <col min="3591" max="3591" width="1" style="3" customWidth="1"/>
    <col min="3592" max="3592" width="33.28515625" style="3" bestFit="1" customWidth="1"/>
    <col min="3593" max="3593" width="13" style="3" bestFit="1" customWidth="1"/>
    <col min="3594" max="3594" width="31.28515625" style="3"/>
    <col min="3595" max="3596" width="8.7109375" style="3" bestFit="1" customWidth="1"/>
    <col min="3597" max="3840" width="31.28515625" style="3"/>
    <col min="3841" max="3841" width="26.42578125" style="3" customWidth="1"/>
    <col min="3842" max="3842" width="23.140625" style="3" bestFit="1" customWidth="1"/>
    <col min="3843" max="3843" width="8.7109375" style="3" bestFit="1" customWidth="1"/>
    <col min="3844" max="3844" width="2.5703125" style="3" customWidth="1"/>
    <col min="3845" max="3845" width="32.28515625" style="3" customWidth="1"/>
    <col min="3846" max="3846" width="13" style="3" bestFit="1" customWidth="1"/>
    <col min="3847" max="3847" width="1" style="3" customWidth="1"/>
    <col min="3848" max="3848" width="33.28515625" style="3" bestFit="1" customWidth="1"/>
    <col min="3849" max="3849" width="13" style="3" bestFit="1" customWidth="1"/>
    <col min="3850" max="3850" width="31.28515625" style="3"/>
    <col min="3851" max="3852" width="8.7109375" style="3" bestFit="1" customWidth="1"/>
    <col min="3853" max="4096" width="31.28515625" style="3"/>
    <col min="4097" max="4097" width="26.42578125" style="3" customWidth="1"/>
    <col min="4098" max="4098" width="23.140625" style="3" bestFit="1" customWidth="1"/>
    <col min="4099" max="4099" width="8.7109375" style="3" bestFit="1" customWidth="1"/>
    <col min="4100" max="4100" width="2.5703125" style="3" customWidth="1"/>
    <col min="4101" max="4101" width="32.28515625" style="3" customWidth="1"/>
    <col min="4102" max="4102" width="13" style="3" bestFit="1" customWidth="1"/>
    <col min="4103" max="4103" width="1" style="3" customWidth="1"/>
    <col min="4104" max="4104" width="33.28515625" style="3" bestFit="1" customWidth="1"/>
    <col min="4105" max="4105" width="13" style="3" bestFit="1" customWidth="1"/>
    <col min="4106" max="4106" width="31.28515625" style="3"/>
    <col min="4107" max="4108" width="8.7109375" style="3" bestFit="1" customWidth="1"/>
    <col min="4109" max="4352" width="31.28515625" style="3"/>
    <col min="4353" max="4353" width="26.42578125" style="3" customWidth="1"/>
    <col min="4354" max="4354" width="23.140625" style="3" bestFit="1" customWidth="1"/>
    <col min="4355" max="4355" width="8.7109375" style="3" bestFit="1" customWidth="1"/>
    <col min="4356" max="4356" width="2.5703125" style="3" customWidth="1"/>
    <col min="4357" max="4357" width="32.28515625" style="3" customWidth="1"/>
    <col min="4358" max="4358" width="13" style="3" bestFit="1" customWidth="1"/>
    <col min="4359" max="4359" width="1" style="3" customWidth="1"/>
    <col min="4360" max="4360" width="33.28515625" style="3" bestFit="1" customWidth="1"/>
    <col min="4361" max="4361" width="13" style="3" bestFit="1" customWidth="1"/>
    <col min="4362" max="4362" width="31.28515625" style="3"/>
    <col min="4363" max="4364" width="8.7109375" style="3" bestFit="1" customWidth="1"/>
    <col min="4365" max="4608" width="31.28515625" style="3"/>
    <col min="4609" max="4609" width="26.42578125" style="3" customWidth="1"/>
    <col min="4610" max="4610" width="23.140625" style="3" bestFit="1" customWidth="1"/>
    <col min="4611" max="4611" width="8.7109375" style="3" bestFit="1" customWidth="1"/>
    <col min="4612" max="4612" width="2.5703125" style="3" customWidth="1"/>
    <col min="4613" max="4613" width="32.28515625" style="3" customWidth="1"/>
    <col min="4614" max="4614" width="13" style="3" bestFit="1" customWidth="1"/>
    <col min="4615" max="4615" width="1" style="3" customWidth="1"/>
    <col min="4616" max="4616" width="33.28515625" style="3" bestFit="1" customWidth="1"/>
    <col min="4617" max="4617" width="13" style="3" bestFit="1" customWidth="1"/>
    <col min="4618" max="4618" width="31.28515625" style="3"/>
    <col min="4619" max="4620" width="8.7109375" style="3" bestFit="1" customWidth="1"/>
    <col min="4621" max="4864" width="31.28515625" style="3"/>
    <col min="4865" max="4865" width="26.42578125" style="3" customWidth="1"/>
    <col min="4866" max="4866" width="23.140625" style="3" bestFit="1" customWidth="1"/>
    <col min="4867" max="4867" width="8.7109375" style="3" bestFit="1" customWidth="1"/>
    <col min="4868" max="4868" width="2.5703125" style="3" customWidth="1"/>
    <col min="4869" max="4869" width="32.28515625" style="3" customWidth="1"/>
    <col min="4870" max="4870" width="13" style="3" bestFit="1" customWidth="1"/>
    <col min="4871" max="4871" width="1" style="3" customWidth="1"/>
    <col min="4872" max="4872" width="33.28515625" style="3" bestFit="1" customWidth="1"/>
    <col min="4873" max="4873" width="13" style="3" bestFit="1" customWidth="1"/>
    <col min="4874" max="4874" width="31.28515625" style="3"/>
    <col min="4875" max="4876" width="8.7109375" style="3" bestFit="1" customWidth="1"/>
    <col min="4877" max="5120" width="31.28515625" style="3"/>
    <col min="5121" max="5121" width="26.42578125" style="3" customWidth="1"/>
    <col min="5122" max="5122" width="23.140625" style="3" bestFit="1" customWidth="1"/>
    <col min="5123" max="5123" width="8.7109375" style="3" bestFit="1" customWidth="1"/>
    <col min="5124" max="5124" width="2.5703125" style="3" customWidth="1"/>
    <col min="5125" max="5125" width="32.28515625" style="3" customWidth="1"/>
    <col min="5126" max="5126" width="13" style="3" bestFit="1" customWidth="1"/>
    <col min="5127" max="5127" width="1" style="3" customWidth="1"/>
    <col min="5128" max="5128" width="33.28515625" style="3" bestFit="1" customWidth="1"/>
    <col min="5129" max="5129" width="13" style="3" bestFit="1" customWidth="1"/>
    <col min="5130" max="5130" width="31.28515625" style="3"/>
    <col min="5131" max="5132" width="8.7109375" style="3" bestFit="1" customWidth="1"/>
    <col min="5133" max="5376" width="31.28515625" style="3"/>
    <col min="5377" max="5377" width="26.42578125" style="3" customWidth="1"/>
    <col min="5378" max="5378" width="23.140625" style="3" bestFit="1" customWidth="1"/>
    <col min="5379" max="5379" width="8.7109375" style="3" bestFit="1" customWidth="1"/>
    <col min="5380" max="5380" width="2.5703125" style="3" customWidth="1"/>
    <col min="5381" max="5381" width="32.28515625" style="3" customWidth="1"/>
    <col min="5382" max="5382" width="13" style="3" bestFit="1" customWidth="1"/>
    <col min="5383" max="5383" width="1" style="3" customWidth="1"/>
    <col min="5384" max="5384" width="33.28515625" style="3" bestFit="1" customWidth="1"/>
    <col min="5385" max="5385" width="13" style="3" bestFit="1" customWidth="1"/>
    <col min="5386" max="5386" width="31.28515625" style="3"/>
    <col min="5387" max="5388" width="8.7109375" style="3" bestFit="1" customWidth="1"/>
    <col min="5389" max="5632" width="31.28515625" style="3"/>
    <col min="5633" max="5633" width="26.42578125" style="3" customWidth="1"/>
    <col min="5634" max="5634" width="23.140625" style="3" bestFit="1" customWidth="1"/>
    <col min="5635" max="5635" width="8.7109375" style="3" bestFit="1" customWidth="1"/>
    <col min="5636" max="5636" width="2.5703125" style="3" customWidth="1"/>
    <col min="5637" max="5637" width="32.28515625" style="3" customWidth="1"/>
    <col min="5638" max="5638" width="13" style="3" bestFit="1" customWidth="1"/>
    <col min="5639" max="5639" width="1" style="3" customWidth="1"/>
    <col min="5640" max="5640" width="33.28515625" style="3" bestFit="1" customWidth="1"/>
    <col min="5641" max="5641" width="13" style="3" bestFit="1" customWidth="1"/>
    <col min="5642" max="5642" width="31.28515625" style="3"/>
    <col min="5643" max="5644" width="8.7109375" style="3" bestFit="1" customWidth="1"/>
    <col min="5645" max="5888" width="31.28515625" style="3"/>
    <col min="5889" max="5889" width="26.42578125" style="3" customWidth="1"/>
    <col min="5890" max="5890" width="23.140625" style="3" bestFit="1" customWidth="1"/>
    <col min="5891" max="5891" width="8.7109375" style="3" bestFit="1" customWidth="1"/>
    <col min="5892" max="5892" width="2.5703125" style="3" customWidth="1"/>
    <col min="5893" max="5893" width="32.28515625" style="3" customWidth="1"/>
    <col min="5894" max="5894" width="13" style="3" bestFit="1" customWidth="1"/>
    <col min="5895" max="5895" width="1" style="3" customWidth="1"/>
    <col min="5896" max="5896" width="33.28515625" style="3" bestFit="1" customWidth="1"/>
    <col min="5897" max="5897" width="13" style="3" bestFit="1" customWidth="1"/>
    <col min="5898" max="5898" width="31.28515625" style="3"/>
    <col min="5899" max="5900" width="8.7109375" style="3" bestFit="1" customWidth="1"/>
    <col min="5901" max="6144" width="31.28515625" style="3"/>
    <col min="6145" max="6145" width="26.42578125" style="3" customWidth="1"/>
    <col min="6146" max="6146" width="23.140625" style="3" bestFit="1" customWidth="1"/>
    <col min="6147" max="6147" width="8.7109375" style="3" bestFit="1" customWidth="1"/>
    <col min="6148" max="6148" width="2.5703125" style="3" customWidth="1"/>
    <col min="6149" max="6149" width="32.28515625" style="3" customWidth="1"/>
    <col min="6150" max="6150" width="13" style="3" bestFit="1" customWidth="1"/>
    <col min="6151" max="6151" width="1" style="3" customWidth="1"/>
    <col min="6152" max="6152" width="33.28515625" style="3" bestFit="1" customWidth="1"/>
    <col min="6153" max="6153" width="13" style="3" bestFit="1" customWidth="1"/>
    <col min="6154" max="6154" width="31.28515625" style="3"/>
    <col min="6155" max="6156" width="8.7109375" style="3" bestFit="1" customWidth="1"/>
    <col min="6157" max="6400" width="31.28515625" style="3"/>
    <col min="6401" max="6401" width="26.42578125" style="3" customWidth="1"/>
    <col min="6402" max="6402" width="23.140625" style="3" bestFit="1" customWidth="1"/>
    <col min="6403" max="6403" width="8.7109375" style="3" bestFit="1" customWidth="1"/>
    <col min="6404" max="6404" width="2.5703125" style="3" customWidth="1"/>
    <col min="6405" max="6405" width="32.28515625" style="3" customWidth="1"/>
    <col min="6406" max="6406" width="13" style="3" bestFit="1" customWidth="1"/>
    <col min="6407" max="6407" width="1" style="3" customWidth="1"/>
    <col min="6408" max="6408" width="33.28515625" style="3" bestFit="1" customWidth="1"/>
    <col min="6409" max="6409" width="13" style="3" bestFit="1" customWidth="1"/>
    <col min="6410" max="6410" width="31.28515625" style="3"/>
    <col min="6411" max="6412" width="8.7109375" style="3" bestFit="1" customWidth="1"/>
    <col min="6413" max="6656" width="31.28515625" style="3"/>
    <col min="6657" max="6657" width="26.42578125" style="3" customWidth="1"/>
    <col min="6658" max="6658" width="23.140625" style="3" bestFit="1" customWidth="1"/>
    <col min="6659" max="6659" width="8.7109375" style="3" bestFit="1" customWidth="1"/>
    <col min="6660" max="6660" width="2.5703125" style="3" customWidth="1"/>
    <col min="6661" max="6661" width="32.28515625" style="3" customWidth="1"/>
    <col min="6662" max="6662" width="13" style="3" bestFit="1" customWidth="1"/>
    <col min="6663" max="6663" width="1" style="3" customWidth="1"/>
    <col min="6664" max="6664" width="33.28515625" style="3" bestFit="1" customWidth="1"/>
    <col min="6665" max="6665" width="13" style="3" bestFit="1" customWidth="1"/>
    <col min="6666" max="6666" width="31.28515625" style="3"/>
    <col min="6667" max="6668" width="8.7109375" style="3" bestFit="1" customWidth="1"/>
    <col min="6669" max="6912" width="31.28515625" style="3"/>
    <col min="6913" max="6913" width="26.42578125" style="3" customWidth="1"/>
    <col min="6914" max="6914" width="23.140625" style="3" bestFit="1" customWidth="1"/>
    <col min="6915" max="6915" width="8.7109375" style="3" bestFit="1" customWidth="1"/>
    <col min="6916" max="6916" width="2.5703125" style="3" customWidth="1"/>
    <col min="6917" max="6917" width="32.28515625" style="3" customWidth="1"/>
    <col min="6918" max="6918" width="13" style="3" bestFit="1" customWidth="1"/>
    <col min="6919" max="6919" width="1" style="3" customWidth="1"/>
    <col min="6920" max="6920" width="33.28515625" style="3" bestFit="1" customWidth="1"/>
    <col min="6921" max="6921" width="13" style="3" bestFit="1" customWidth="1"/>
    <col min="6922" max="6922" width="31.28515625" style="3"/>
    <col min="6923" max="6924" width="8.7109375" style="3" bestFit="1" customWidth="1"/>
    <col min="6925" max="7168" width="31.28515625" style="3"/>
    <col min="7169" max="7169" width="26.42578125" style="3" customWidth="1"/>
    <col min="7170" max="7170" width="23.140625" style="3" bestFit="1" customWidth="1"/>
    <col min="7171" max="7171" width="8.7109375" style="3" bestFit="1" customWidth="1"/>
    <col min="7172" max="7172" width="2.5703125" style="3" customWidth="1"/>
    <col min="7173" max="7173" width="32.28515625" style="3" customWidth="1"/>
    <col min="7174" max="7174" width="13" style="3" bestFit="1" customWidth="1"/>
    <col min="7175" max="7175" width="1" style="3" customWidth="1"/>
    <col min="7176" max="7176" width="33.28515625" style="3" bestFit="1" customWidth="1"/>
    <col min="7177" max="7177" width="13" style="3" bestFit="1" customWidth="1"/>
    <col min="7178" max="7178" width="31.28515625" style="3"/>
    <col min="7179" max="7180" width="8.7109375" style="3" bestFit="1" customWidth="1"/>
    <col min="7181" max="7424" width="31.28515625" style="3"/>
    <col min="7425" max="7425" width="26.42578125" style="3" customWidth="1"/>
    <col min="7426" max="7426" width="23.140625" style="3" bestFit="1" customWidth="1"/>
    <col min="7427" max="7427" width="8.7109375" style="3" bestFit="1" customWidth="1"/>
    <col min="7428" max="7428" width="2.5703125" style="3" customWidth="1"/>
    <col min="7429" max="7429" width="32.28515625" style="3" customWidth="1"/>
    <col min="7430" max="7430" width="13" style="3" bestFit="1" customWidth="1"/>
    <col min="7431" max="7431" width="1" style="3" customWidth="1"/>
    <col min="7432" max="7432" width="33.28515625" style="3" bestFit="1" customWidth="1"/>
    <col min="7433" max="7433" width="13" style="3" bestFit="1" customWidth="1"/>
    <col min="7434" max="7434" width="31.28515625" style="3"/>
    <col min="7435" max="7436" width="8.7109375" style="3" bestFit="1" customWidth="1"/>
    <col min="7437" max="7680" width="31.28515625" style="3"/>
    <col min="7681" max="7681" width="26.42578125" style="3" customWidth="1"/>
    <col min="7682" max="7682" width="23.140625" style="3" bestFit="1" customWidth="1"/>
    <col min="7683" max="7683" width="8.7109375" style="3" bestFit="1" customWidth="1"/>
    <col min="7684" max="7684" width="2.5703125" style="3" customWidth="1"/>
    <col min="7685" max="7685" width="32.28515625" style="3" customWidth="1"/>
    <col min="7686" max="7686" width="13" style="3" bestFit="1" customWidth="1"/>
    <col min="7687" max="7687" width="1" style="3" customWidth="1"/>
    <col min="7688" max="7688" width="33.28515625" style="3" bestFit="1" customWidth="1"/>
    <col min="7689" max="7689" width="13" style="3" bestFit="1" customWidth="1"/>
    <col min="7690" max="7690" width="31.28515625" style="3"/>
    <col min="7691" max="7692" width="8.7109375" style="3" bestFit="1" customWidth="1"/>
    <col min="7693" max="7936" width="31.28515625" style="3"/>
    <col min="7937" max="7937" width="26.42578125" style="3" customWidth="1"/>
    <col min="7938" max="7938" width="23.140625" style="3" bestFit="1" customWidth="1"/>
    <col min="7939" max="7939" width="8.7109375" style="3" bestFit="1" customWidth="1"/>
    <col min="7940" max="7940" width="2.5703125" style="3" customWidth="1"/>
    <col min="7941" max="7941" width="32.28515625" style="3" customWidth="1"/>
    <col min="7942" max="7942" width="13" style="3" bestFit="1" customWidth="1"/>
    <col min="7943" max="7943" width="1" style="3" customWidth="1"/>
    <col min="7944" max="7944" width="33.28515625" style="3" bestFit="1" customWidth="1"/>
    <col min="7945" max="7945" width="13" style="3" bestFit="1" customWidth="1"/>
    <col min="7946" max="7946" width="31.28515625" style="3"/>
    <col min="7947" max="7948" width="8.7109375" style="3" bestFit="1" customWidth="1"/>
    <col min="7949" max="8192" width="31.28515625" style="3"/>
    <col min="8193" max="8193" width="26.42578125" style="3" customWidth="1"/>
    <col min="8194" max="8194" width="23.140625" style="3" bestFit="1" customWidth="1"/>
    <col min="8195" max="8195" width="8.7109375" style="3" bestFit="1" customWidth="1"/>
    <col min="8196" max="8196" width="2.5703125" style="3" customWidth="1"/>
    <col min="8197" max="8197" width="32.28515625" style="3" customWidth="1"/>
    <col min="8198" max="8198" width="13" style="3" bestFit="1" customWidth="1"/>
    <col min="8199" max="8199" width="1" style="3" customWidth="1"/>
    <col min="8200" max="8200" width="33.28515625" style="3" bestFit="1" customWidth="1"/>
    <col min="8201" max="8201" width="13" style="3" bestFit="1" customWidth="1"/>
    <col min="8202" max="8202" width="31.28515625" style="3"/>
    <col min="8203" max="8204" width="8.7109375" style="3" bestFit="1" customWidth="1"/>
    <col min="8205" max="8448" width="31.28515625" style="3"/>
    <col min="8449" max="8449" width="26.42578125" style="3" customWidth="1"/>
    <col min="8450" max="8450" width="23.140625" style="3" bestFit="1" customWidth="1"/>
    <col min="8451" max="8451" width="8.7109375" style="3" bestFit="1" customWidth="1"/>
    <col min="8452" max="8452" width="2.5703125" style="3" customWidth="1"/>
    <col min="8453" max="8453" width="32.28515625" style="3" customWidth="1"/>
    <col min="8454" max="8454" width="13" style="3" bestFit="1" customWidth="1"/>
    <col min="8455" max="8455" width="1" style="3" customWidth="1"/>
    <col min="8456" max="8456" width="33.28515625" style="3" bestFit="1" customWidth="1"/>
    <col min="8457" max="8457" width="13" style="3" bestFit="1" customWidth="1"/>
    <col min="8458" max="8458" width="31.28515625" style="3"/>
    <col min="8459" max="8460" width="8.7109375" style="3" bestFit="1" customWidth="1"/>
    <col min="8461" max="8704" width="31.28515625" style="3"/>
    <col min="8705" max="8705" width="26.42578125" style="3" customWidth="1"/>
    <col min="8706" max="8706" width="23.140625" style="3" bestFit="1" customWidth="1"/>
    <col min="8707" max="8707" width="8.7109375" style="3" bestFit="1" customWidth="1"/>
    <col min="8708" max="8708" width="2.5703125" style="3" customWidth="1"/>
    <col min="8709" max="8709" width="32.28515625" style="3" customWidth="1"/>
    <col min="8710" max="8710" width="13" style="3" bestFit="1" customWidth="1"/>
    <col min="8711" max="8711" width="1" style="3" customWidth="1"/>
    <col min="8712" max="8712" width="33.28515625" style="3" bestFit="1" customWidth="1"/>
    <col min="8713" max="8713" width="13" style="3" bestFit="1" customWidth="1"/>
    <col min="8714" max="8714" width="31.28515625" style="3"/>
    <col min="8715" max="8716" width="8.7109375" style="3" bestFit="1" customWidth="1"/>
    <col min="8717" max="8960" width="31.28515625" style="3"/>
    <col min="8961" max="8961" width="26.42578125" style="3" customWidth="1"/>
    <col min="8962" max="8962" width="23.140625" style="3" bestFit="1" customWidth="1"/>
    <col min="8963" max="8963" width="8.7109375" style="3" bestFit="1" customWidth="1"/>
    <col min="8964" max="8964" width="2.5703125" style="3" customWidth="1"/>
    <col min="8965" max="8965" width="32.28515625" style="3" customWidth="1"/>
    <col min="8966" max="8966" width="13" style="3" bestFit="1" customWidth="1"/>
    <col min="8967" max="8967" width="1" style="3" customWidth="1"/>
    <col min="8968" max="8968" width="33.28515625" style="3" bestFit="1" customWidth="1"/>
    <col min="8969" max="8969" width="13" style="3" bestFit="1" customWidth="1"/>
    <col min="8970" max="8970" width="31.28515625" style="3"/>
    <col min="8971" max="8972" width="8.7109375" style="3" bestFit="1" customWidth="1"/>
    <col min="8973" max="9216" width="31.28515625" style="3"/>
    <col min="9217" max="9217" width="26.42578125" style="3" customWidth="1"/>
    <col min="9218" max="9218" width="23.140625" style="3" bestFit="1" customWidth="1"/>
    <col min="9219" max="9219" width="8.7109375" style="3" bestFit="1" customWidth="1"/>
    <col min="9220" max="9220" width="2.5703125" style="3" customWidth="1"/>
    <col min="9221" max="9221" width="32.28515625" style="3" customWidth="1"/>
    <col min="9222" max="9222" width="13" style="3" bestFit="1" customWidth="1"/>
    <col min="9223" max="9223" width="1" style="3" customWidth="1"/>
    <col min="9224" max="9224" width="33.28515625" style="3" bestFit="1" customWidth="1"/>
    <col min="9225" max="9225" width="13" style="3" bestFit="1" customWidth="1"/>
    <col min="9226" max="9226" width="31.28515625" style="3"/>
    <col min="9227" max="9228" width="8.7109375" style="3" bestFit="1" customWidth="1"/>
    <col min="9229" max="9472" width="31.28515625" style="3"/>
    <col min="9473" max="9473" width="26.42578125" style="3" customWidth="1"/>
    <col min="9474" max="9474" width="23.140625" style="3" bestFit="1" customWidth="1"/>
    <col min="9475" max="9475" width="8.7109375" style="3" bestFit="1" customWidth="1"/>
    <col min="9476" max="9476" width="2.5703125" style="3" customWidth="1"/>
    <col min="9477" max="9477" width="32.28515625" style="3" customWidth="1"/>
    <col min="9478" max="9478" width="13" style="3" bestFit="1" customWidth="1"/>
    <col min="9479" max="9479" width="1" style="3" customWidth="1"/>
    <col min="9480" max="9480" width="33.28515625" style="3" bestFit="1" customWidth="1"/>
    <col min="9481" max="9481" width="13" style="3" bestFit="1" customWidth="1"/>
    <col min="9482" max="9482" width="31.28515625" style="3"/>
    <col min="9483" max="9484" width="8.7109375" style="3" bestFit="1" customWidth="1"/>
    <col min="9485" max="9728" width="31.28515625" style="3"/>
    <col min="9729" max="9729" width="26.42578125" style="3" customWidth="1"/>
    <col min="9730" max="9730" width="23.140625" style="3" bestFit="1" customWidth="1"/>
    <col min="9731" max="9731" width="8.7109375" style="3" bestFit="1" customWidth="1"/>
    <col min="9732" max="9732" width="2.5703125" style="3" customWidth="1"/>
    <col min="9733" max="9733" width="32.28515625" style="3" customWidth="1"/>
    <col min="9734" max="9734" width="13" style="3" bestFit="1" customWidth="1"/>
    <col min="9735" max="9735" width="1" style="3" customWidth="1"/>
    <col min="9736" max="9736" width="33.28515625" style="3" bestFit="1" customWidth="1"/>
    <col min="9737" max="9737" width="13" style="3" bestFit="1" customWidth="1"/>
    <col min="9738" max="9738" width="31.28515625" style="3"/>
    <col min="9739" max="9740" width="8.7109375" style="3" bestFit="1" customWidth="1"/>
    <col min="9741" max="9984" width="31.28515625" style="3"/>
    <col min="9985" max="9985" width="26.42578125" style="3" customWidth="1"/>
    <col min="9986" max="9986" width="23.140625" style="3" bestFit="1" customWidth="1"/>
    <col min="9987" max="9987" width="8.7109375" style="3" bestFit="1" customWidth="1"/>
    <col min="9988" max="9988" width="2.5703125" style="3" customWidth="1"/>
    <col min="9989" max="9989" width="32.28515625" style="3" customWidth="1"/>
    <col min="9990" max="9990" width="13" style="3" bestFit="1" customWidth="1"/>
    <col min="9991" max="9991" width="1" style="3" customWidth="1"/>
    <col min="9992" max="9992" width="33.28515625" style="3" bestFit="1" customWidth="1"/>
    <col min="9993" max="9993" width="13" style="3" bestFit="1" customWidth="1"/>
    <col min="9994" max="9994" width="31.28515625" style="3"/>
    <col min="9995" max="9996" width="8.7109375" style="3" bestFit="1" customWidth="1"/>
    <col min="9997" max="10240" width="31.28515625" style="3"/>
    <col min="10241" max="10241" width="26.42578125" style="3" customWidth="1"/>
    <col min="10242" max="10242" width="23.140625" style="3" bestFit="1" customWidth="1"/>
    <col min="10243" max="10243" width="8.7109375" style="3" bestFit="1" customWidth="1"/>
    <col min="10244" max="10244" width="2.5703125" style="3" customWidth="1"/>
    <col min="10245" max="10245" width="32.28515625" style="3" customWidth="1"/>
    <col min="10246" max="10246" width="13" style="3" bestFit="1" customWidth="1"/>
    <col min="10247" max="10247" width="1" style="3" customWidth="1"/>
    <col min="10248" max="10248" width="33.28515625" style="3" bestFit="1" customWidth="1"/>
    <col min="10249" max="10249" width="13" style="3" bestFit="1" customWidth="1"/>
    <col min="10250" max="10250" width="31.28515625" style="3"/>
    <col min="10251" max="10252" width="8.7109375" style="3" bestFit="1" customWidth="1"/>
    <col min="10253" max="10496" width="31.28515625" style="3"/>
    <col min="10497" max="10497" width="26.42578125" style="3" customWidth="1"/>
    <col min="10498" max="10498" width="23.140625" style="3" bestFit="1" customWidth="1"/>
    <col min="10499" max="10499" width="8.7109375" style="3" bestFit="1" customWidth="1"/>
    <col min="10500" max="10500" width="2.5703125" style="3" customWidth="1"/>
    <col min="10501" max="10501" width="32.28515625" style="3" customWidth="1"/>
    <col min="10502" max="10502" width="13" style="3" bestFit="1" customWidth="1"/>
    <col min="10503" max="10503" width="1" style="3" customWidth="1"/>
    <col min="10504" max="10504" width="33.28515625" style="3" bestFit="1" customWidth="1"/>
    <col min="10505" max="10505" width="13" style="3" bestFit="1" customWidth="1"/>
    <col min="10506" max="10506" width="31.28515625" style="3"/>
    <col min="10507" max="10508" width="8.7109375" style="3" bestFit="1" customWidth="1"/>
    <col min="10509" max="10752" width="31.28515625" style="3"/>
    <col min="10753" max="10753" width="26.42578125" style="3" customWidth="1"/>
    <col min="10754" max="10754" width="23.140625" style="3" bestFit="1" customWidth="1"/>
    <col min="10755" max="10755" width="8.7109375" style="3" bestFit="1" customWidth="1"/>
    <col min="10756" max="10756" width="2.5703125" style="3" customWidth="1"/>
    <col min="10757" max="10757" width="32.28515625" style="3" customWidth="1"/>
    <col min="10758" max="10758" width="13" style="3" bestFit="1" customWidth="1"/>
    <col min="10759" max="10759" width="1" style="3" customWidth="1"/>
    <col min="10760" max="10760" width="33.28515625" style="3" bestFit="1" customWidth="1"/>
    <col min="10761" max="10761" width="13" style="3" bestFit="1" customWidth="1"/>
    <col min="10762" max="10762" width="31.28515625" style="3"/>
    <col min="10763" max="10764" width="8.7109375" style="3" bestFit="1" customWidth="1"/>
    <col min="10765" max="11008" width="31.28515625" style="3"/>
    <col min="11009" max="11009" width="26.42578125" style="3" customWidth="1"/>
    <col min="11010" max="11010" width="23.140625" style="3" bestFit="1" customWidth="1"/>
    <col min="11011" max="11011" width="8.7109375" style="3" bestFit="1" customWidth="1"/>
    <col min="11012" max="11012" width="2.5703125" style="3" customWidth="1"/>
    <col min="11013" max="11013" width="32.28515625" style="3" customWidth="1"/>
    <col min="11014" max="11014" width="13" style="3" bestFit="1" customWidth="1"/>
    <col min="11015" max="11015" width="1" style="3" customWidth="1"/>
    <col min="11016" max="11016" width="33.28515625" style="3" bestFit="1" customWidth="1"/>
    <col min="11017" max="11017" width="13" style="3" bestFit="1" customWidth="1"/>
    <col min="11018" max="11018" width="31.28515625" style="3"/>
    <col min="11019" max="11020" width="8.7109375" style="3" bestFit="1" customWidth="1"/>
    <col min="11021" max="11264" width="31.28515625" style="3"/>
    <col min="11265" max="11265" width="26.42578125" style="3" customWidth="1"/>
    <col min="11266" max="11266" width="23.140625" style="3" bestFit="1" customWidth="1"/>
    <col min="11267" max="11267" width="8.7109375" style="3" bestFit="1" customWidth="1"/>
    <col min="11268" max="11268" width="2.5703125" style="3" customWidth="1"/>
    <col min="11269" max="11269" width="32.28515625" style="3" customWidth="1"/>
    <col min="11270" max="11270" width="13" style="3" bestFit="1" customWidth="1"/>
    <col min="11271" max="11271" width="1" style="3" customWidth="1"/>
    <col min="11272" max="11272" width="33.28515625" style="3" bestFit="1" customWidth="1"/>
    <col min="11273" max="11273" width="13" style="3" bestFit="1" customWidth="1"/>
    <col min="11274" max="11274" width="31.28515625" style="3"/>
    <col min="11275" max="11276" width="8.7109375" style="3" bestFit="1" customWidth="1"/>
    <col min="11277" max="11520" width="31.28515625" style="3"/>
    <col min="11521" max="11521" width="26.42578125" style="3" customWidth="1"/>
    <col min="11522" max="11522" width="23.140625" style="3" bestFit="1" customWidth="1"/>
    <col min="11523" max="11523" width="8.7109375" style="3" bestFit="1" customWidth="1"/>
    <col min="11524" max="11524" width="2.5703125" style="3" customWidth="1"/>
    <col min="11525" max="11525" width="32.28515625" style="3" customWidth="1"/>
    <col min="11526" max="11526" width="13" style="3" bestFit="1" customWidth="1"/>
    <col min="11527" max="11527" width="1" style="3" customWidth="1"/>
    <col min="11528" max="11528" width="33.28515625" style="3" bestFit="1" customWidth="1"/>
    <col min="11529" max="11529" width="13" style="3" bestFit="1" customWidth="1"/>
    <col min="11530" max="11530" width="31.28515625" style="3"/>
    <col min="11531" max="11532" width="8.7109375" style="3" bestFit="1" customWidth="1"/>
    <col min="11533" max="11776" width="31.28515625" style="3"/>
    <col min="11777" max="11777" width="26.42578125" style="3" customWidth="1"/>
    <col min="11778" max="11778" width="23.140625" style="3" bestFit="1" customWidth="1"/>
    <col min="11779" max="11779" width="8.7109375" style="3" bestFit="1" customWidth="1"/>
    <col min="11780" max="11780" width="2.5703125" style="3" customWidth="1"/>
    <col min="11781" max="11781" width="32.28515625" style="3" customWidth="1"/>
    <col min="11782" max="11782" width="13" style="3" bestFit="1" customWidth="1"/>
    <col min="11783" max="11783" width="1" style="3" customWidth="1"/>
    <col min="11784" max="11784" width="33.28515625" style="3" bestFit="1" customWidth="1"/>
    <col min="11785" max="11785" width="13" style="3" bestFit="1" customWidth="1"/>
    <col min="11786" max="11786" width="31.28515625" style="3"/>
    <col min="11787" max="11788" width="8.7109375" style="3" bestFit="1" customWidth="1"/>
    <col min="11789" max="12032" width="31.28515625" style="3"/>
    <col min="12033" max="12033" width="26.42578125" style="3" customWidth="1"/>
    <col min="12034" max="12034" width="23.140625" style="3" bestFit="1" customWidth="1"/>
    <col min="12035" max="12035" width="8.7109375" style="3" bestFit="1" customWidth="1"/>
    <col min="12036" max="12036" width="2.5703125" style="3" customWidth="1"/>
    <col min="12037" max="12037" width="32.28515625" style="3" customWidth="1"/>
    <col min="12038" max="12038" width="13" style="3" bestFit="1" customWidth="1"/>
    <col min="12039" max="12039" width="1" style="3" customWidth="1"/>
    <col min="12040" max="12040" width="33.28515625" style="3" bestFit="1" customWidth="1"/>
    <col min="12041" max="12041" width="13" style="3" bestFit="1" customWidth="1"/>
    <col min="12042" max="12042" width="31.28515625" style="3"/>
    <col min="12043" max="12044" width="8.7109375" style="3" bestFit="1" customWidth="1"/>
    <col min="12045" max="12288" width="31.28515625" style="3"/>
    <col min="12289" max="12289" width="26.42578125" style="3" customWidth="1"/>
    <col min="12290" max="12290" width="23.140625" style="3" bestFit="1" customWidth="1"/>
    <col min="12291" max="12291" width="8.7109375" style="3" bestFit="1" customWidth="1"/>
    <col min="12292" max="12292" width="2.5703125" style="3" customWidth="1"/>
    <col min="12293" max="12293" width="32.28515625" style="3" customWidth="1"/>
    <col min="12294" max="12294" width="13" style="3" bestFit="1" customWidth="1"/>
    <col min="12295" max="12295" width="1" style="3" customWidth="1"/>
    <col min="12296" max="12296" width="33.28515625" style="3" bestFit="1" customWidth="1"/>
    <col min="12297" max="12297" width="13" style="3" bestFit="1" customWidth="1"/>
    <col min="12298" max="12298" width="31.28515625" style="3"/>
    <col min="12299" max="12300" width="8.7109375" style="3" bestFit="1" customWidth="1"/>
    <col min="12301" max="12544" width="31.28515625" style="3"/>
    <col min="12545" max="12545" width="26.42578125" style="3" customWidth="1"/>
    <col min="12546" max="12546" width="23.140625" style="3" bestFit="1" customWidth="1"/>
    <col min="12547" max="12547" width="8.7109375" style="3" bestFit="1" customWidth="1"/>
    <col min="12548" max="12548" width="2.5703125" style="3" customWidth="1"/>
    <col min="12549" max="12549" width="32.28515625" style="3" customWidth="1"/>
    <col min="12550" max="12550" width="13" style="3" bestFit="1" customWidth="1"/>
    <col min="12551" max="12551" width="1" style="3" customWidth="1"/>
    <col min="12552" max="12552" width="33.28515625" style="3" bestFit="1" customWidth="1"/>
    <col min="12553" max="12553" width="13" style="3" bestFit="1" customWidth="1"/>
    <col min="12554" max="12554" width="31.28515625" style="3"/>
    <col min="12555" max="12556" width="8.7109375" style="3" bestFit="1" customWidth="1"/>
    <col min="12557" max="12800" width="31.28515625" style="3"/>
    <col min="12801" max="12801" width="26.42578125" style="3" customWidth="1"/>
    <col min="12802" max="12802" width="23.140625" style="3" bestFit="1" customWidth="1"/>
    <col min="12803" max="12803" width="8.7109375" style="3" bestFit="1" customWidth="1"/>
    <col min="12804" max="12804" width="2.5703125" style="3" customWidth="1"/>
    <col min="12805" max="12805" width="32.28515625" style="3" customWidth="1"/>
    <col min="12806" max="12806" width="13" style="3" bestFit="1" customWidth="1"/>
    <col min="12807" max="12807" width="1" style="3" customWidth="1"/>
    <col min="12808" max="12808" width="33.28515625" style="3" bestFit="1" customWidth="1"/>
    <col min="12809" max="12809" width="13" style="3" bestFit="1" customWidth="1"/>
    <col min="12810" max="12810" width="31.28515625" style="3"/>
    <col min="12811" max="12812" width="8.7109375" style="3" bestFit="1" customWidth="1"/>
    <col min="12813" max="13056" width="31.28515625" style="3"/>
    <col min="13057" max="13057" width="26.42578125" style="3" customWidth="1"/>
    <col min="13058" max="13058" width="23.140625" style="3" bestFit="1" customWidth="1"/>
    <col min="13059" max="13059" width="8.7109375" style="3" bestFit="1" customWidth="1"/>
    <col min="13060" max="13060" width="2.5703125" style="3" customWidth="1"/>
    <col min="13061" max="13061" width="32.28515625" style="3" customWidth="1"/>
    <col min="13062" max="13062" width="13" style="3" bestFit="1" customWidth="1"/>
    <col min="13063" max="13063" width="1" style="3" customWidth="1"/>
    <col min="13064" max="13064" width="33.28515625" style="3" bestFit="1" customWidth="1"/>
    <col min="13065" max="13065" width="13" style="3" bestFit="1" customWidth="1"/>
    <col min="13066" max="13066" width="31.28515625" style="3"/>
    <col min="13067" max="13068" width="8.7109375" style="3" bestFit="1" customWidth="1"/>
    <col min="13069" max="13312" width="31.28515625" style="3"/>
    <col min="13313" max="13313" width="26.42578125" style="3" customWidth="1"/>
    <col min="13314" max="13314" width="23.140625" style="3" bestFit="1" customWidth="1"/>
    <col min="13315" max="13315" width="8.7109375" style="3" bestFit="1" customWidth="1"/>
    <col min="13316" max="13316" width="2.5703125" style="3" customWidth="1"/>
    <col min="13317" max="13317" width="32.28515625" style="3" customWidth="1"/>
    <col min="13318" max="13318" width="13" style="3" bestFit="1" customWidth="1"/>
    <col min="13319" max="13319" width="1" style="3" customWidth="1"/>
    <col min="13320" max="13320" width="33.28515625" style="3" bestFit="1" customWidth="1"/>
    <col min="13321" max="13321" width="13" style="3" bestFit="1" customWidth="1"/>
    <col min="13322" max="13322" width="31.28515625" style="3"/>
    <col min="13323" max="13324" width="8.7109375" style="3" bestFit="1" customWidth="1"/>
    <col min="13325" max="13568" width="31.28515625" style="3"/>
    <col min="13569" max="13569" width="26.42578125" style="3" customWidth="1"/>
    <col min="13570" max="13570" width="23.140625" style="3" bestFit="1" customWidth="1"/>
    <col min="13571" max="13571" width="8.7109375" style="3" bestFit="1" customWidth="1"/>
    <col min="13572" max="13572" width="2.5703125" style="3" customWidth="1"/>
    <col min="13573" max="13573" width="32.28515625" style="3" customWidth="1"/>
    <col min="13574" max="13574" width="13" style="3" bestFit="1" customWidth="1"/>
    <col min="13575" max="13575" width="1" style="3" customWidth="1"/>
    <col min="13576" max="13576" width="33.28515625" style="3" bestFit="1" customWidth="1"/>
    <col min="13577" max="13577" width="13" style="3" bestFit="1" customWidth="1"/>
    <col min="13578" max="13578" width="31.28515625" style="3"/>
    <col min="13579" max="13580" width="8.7109375" style="3" bestFit="1" customWidth="1"/>
    <col min="13581" max="13824" width="31.28515625" style="3"/>
    <col min="13825" max="13825" width="26.42578125" style="3" customWidth="1"/>
    <col min="13826" max="13826" width="23.140625" style="3" bestFit="1" customWidth="1"/>
    <col min="13827" max="13827" width="8.7109375" style="3" bestFit="1" customWidth="1"/>
    <col min="13828" max="13828" width="2.5703125" style="3" customWidth="1"/>
    <col min="13829" max="13829" width="32.28515625" style="3" customWidth="1"/>
    <col min="13830" max="13830" width="13" style="3" bestFit="1" customWidth="1"/>
    <col min="13831" max="13831" width="1" style="3" customWidth="1"/>
    <col min="13832" max="13832" width="33.28515625" style="3" bestFit="1" customWidth="1"/>
    <col min="13833" max="13833" width="13" style="3" bestFit="1" customWidth="1"/>
    <col min="13834" max="13834" width="31.28515625" style="3"/>
    <col min="13835" max="13836" width="8.7109375" style="3" bestFit="1" customWidth="1"/>
    <col min="13837" max="14080" width="31.28515625" style="3"/>
    <col min="14081" max="14081" width="26.42578125" style="3" customWidth="1"/>
    <col min="14082" max="14082" width="23.140625" style="3" bestFit="1" customWidth="1"/>
    <col min="14083" max="14083" width="8.7109375" style="3" bestFit="1" customWidth="1"/>
    <col min="14084" max="14084" width="2.5703125" style="3" customWidth="1"/>
    <col min="14085" max="14085" width="32.28515625" style="3" customWidth="1"/>
    <col min="14086" max="14086" width="13" style="3" bestFit="1" customWidth="1"/>
    <col min="14087" max="14087" width="1" style="3" customWidth="1"/>
    <col min="14088" max="14088" width="33.28515625" style="3" bestFit="1" customWidth="1"/>
    <col min="14089" max="14089" width="13" style="3" bestFit="1" customWidth="1"/>
    <col min="14090" max="14090" width="31.28515625" style="3"/>
    <col min="14091" max="14092" width="8.7109375" style="3" bestFit="1" customWidth="1"/>
    <col min="14093" max="14336" width="31.28515625" style="3"/>
    <col min="14337" max="14337" width="26.42578125" style="3" customWidth="1"/>
    <col min="14338" max="14338" width="23.140625" style="3" bestFit="1" customWidth="1"/>
    <col min="14339" max="14339" width="8.7109375" style="3" bestFit="1" customWidth="1"/>
    <col min="14340" max="14340" width="2.5703125" style="3" customWidth="1"/>
    <col min="14341" max="14341" width="32.28515625" style="3" customWidth="1"/>
    <col min="14342" max="14342" width="13" style="3" bestFit="1" customWidth="1"/>
    <col min="14343" max="14343" width="1" style="3" customWidth="1"/>
    <col min="14344" max="14344" width="33.28515625" style="3" bestFit="1" customWidth="1"/>
    <col min="14345" max="14345" width="13" style="3" bestFit="1" customWidth="1"/>
    <col min="14346" max="14346" width="31.28515625" style="3"/>
    <col min="14347" max="14348" width="8.7109375" style="3" bestFit="1" customWidth="1"/>
    <col min="14349" max="14592" width="31.28515625" style="3"/>
    <col min="14593" max="14593" width="26.42578125" style="3" customWidth="1"/>
    <col min="14594" max="14594" width="23.140625" style="3" bestFit="1" customWidth="1"/>
    <col min="14595" max="14595" width="8.7109375" style="3" bestFit="1" customWidth="1"/>
    <col min="14596" max="14596" width="2.5703125" style="3" customWidth="1"/>
    <col min="14597" max="14597" width="32.28515625" style="3" customWidth="1"/>
    <col min="14598" max="14598" width="13" style="3" bestFit="1" customWidth="1"/>
    <col min="14599" max="14599" width="1" style="3" customWidth="1"/>
    <col min="14600" max="14600" width="33.28515625" style="3" bestFit="1" customWidth="1"/>
    <col min="14601" max="14601" width="13" style="3" bestFit="1" customWidth="1"/>
    <col min="14602" max="14602" width="31.28515625" style="3"/>
    <col min="14603" max="14604" width="8.7109375" style="3" bestFit="1" customWidth="1"/>
    <col min="14605" max="14848" width="31.28515625" style="3"/>
    <col min="14849" max="14849" width="26.42578125" style="3" customWidth="1"/>
    <col min="14850" max="14850" width="23.140625" style="3" bestFit="1" customWidth="1"/>
    <col min="14851" max="14851" width="8.7109375" style="3" bestFit="1" customWidth="1"/>
    <col min="14852" max="14852" width="2.5703125" style="3" customWidth="1"/>
    <col min="14853" max="14853" width="32.28515625" style="3" customWidth="1"/>
    <col min="14854" max="14854" width="13" style="3" bestFit="1" customWidth="1"/>
    <col min="14855" max="14855" width="1" style="3" customWidth="1"/>
    <col min="14856" max="14856" width="33.28515625" style="3" bestFit="1" customWidth="1"/>
    <col min="14857" max="14857" width="13" style="3" bestFit="1" customWidth="1"/>
    <col min="14858" max="14858" width="31.28515625" style="3"/>
    <col min="14859" max="14860" width="8.7109375" style="3" bestFit="1" customWidth="1"/>
    <col min="14861" max="15104" width="31.28515625" style="3"/>
    <col min="15105" max="15105" width="26.42578125" style="3" customWidth="1"/>
    <col min="15106" max="15106" width="23.140625" style="3" bestFit="1" customWidth="1"/>
    <col min="15107" max="15107" width="8.7109375" style="3" bestFit="1" customWidth="1"/>
    <col min="15108" max="15108" width="2.5703125" style="3" customWidth="1"/>
    <col min="15109" max="15109" width="32.28515625" style="3" customWidth="1"/>
    <col min="15110" max="15110" width="13" style="3" bestFit="1" customWidth="1"/>
    <col min="15111" max="15111" width="1" style="3" customWidth="1"/>
    <col min="15112" max="15112" width="33.28515625" style="3" bestFit="1" customWidth="1"/>
    <col min="15113" max="15113" width="13" style="3" bestFit="1" customWidth="1"/>
    <col min="15114" max="15114" width="31.28515625" style="3"/>
    <col min="15115" max="15116" width="8.7109375" style="3" bestFit="1" customWidth="1"/>
    <col min="15117" max="15360" width="31.28515625" style="3"/>
    <col min="15361" max="15361" width="26.42578125" style="3" customWidth="1"/>
    <col min="15362" max="15362" width="23.140625" style="3" bestFit="1" customWidth="1"/>
    <col min="15363" max="15363" width="8.7109375" style="3" bestFit="1" customWidth="1"/>
    <col min="15364" max="15364" width="2.5703125" style="3" customWidth="1"/>
    <col min="15365" max="15365" width="32.28515625" style="3" customWidth="1"/>
    <col min="15366" max="15366" width="13" style="3" bestFit="1" customWidth="1"/>
    <col min="15367" max="15367" width="1" style="3" customWidth="1"/>
    <col min="15368" max="15368" width="33.28515625" style="3" bestFit="1" customWidth="1"/>
    <col min="15369" max="15369" width="13" style="3" bestFit="1" customWidth="1"/>
    <col min="15370" max="15370" width="31.28515625" style="3"/>
    <col min="15371" max="15372" width="8.7109375" style="3" bestFit="1" customWidth="1"/>
    <col min="15373" max="15616" width="31.28515625" style="3"/>
    <col min="15617" max="15617" width="26.42578125" style="3" customWidth="1"/>
    <col min="15618" max="15618" width="23.140625" style="3" bestFit="1" customWidth="1"/>
    <col min="15619" max="15619" width="8.7109375" style="3" bestFit="1" customWidth="1"/>
    <col min="15620" max="15620" width="2.5703125" style="3" customWidth="1"/>
    <col min="15621" max="15621" width="32.28515625" style="3" customWidth="1"/>
    <col min="15622" max="15622" width="13" style="3" bestFit="1" customWidth="1"/>
    <col min="15623" max="15623" width="1" style="3" customWidth="1"/>
    <col min="15624" max="15624" width="33.28515625" style="3" bestFit="1" customWidth="1"/>
    <col min="15625" max="15625" width="13" style="3" bestFit="1" customWidth="1"/>
    <col min="15626" max="15626" width="31.28515625" style="3"/>
    <col min="15627" max="15628" width="8.7109375" style="3" bestFit="1" customWidth="1"/>
    <col min="15629" max="15872" width="31.28515625" style="3"/>
    <col min="15873" max="15873" width="26.42578125" style="3" customWidth="1"/>
    <col min="15874" max="15874" width="23.140625" style="3" bestFit="1" customWidth="1"/>
    <col min="15875" max="15875" width="8.7109375" style="3" bestFit="1" customWidth="1"/>
    <col min="15876" max="15876" width="2.5703125" style="3" customWidth="1"/>
    <col min="15877" max="15877" width="32.28515625" style="3" customWidth="1"/>
    <col min="15878" max="15878" width="13" style="3" bestFit="1" customWidth="1"/>
    <col min="15879" max="15879" width="1" style="3" customWidth="1"/>
    <col min="15880" max="15880" width="33.28515625" style="3" bestFit="1" customWidth="1"/>
    <col min="15881" max="15881" width="13" style="3" bestFit="1" customWidth="1"/>
    <col min="15882" max="15882" width="31.28515625" style="3"/>
    <col min="15883" max="15884" width="8.7109375" style="3" bestFit="1" customWidth="1"/>
    <col min="15885" max="16128" width="31.28515625" style="3"/>
    <col min="16129" max="16129" width="26.42578125" style="3" customWidth="1"/>
    <col min="16130" max="16130" width="23.140625" style="3" bestFit="1" customWidth="1"/>
    <col min="16131" max="16131" width="8.7109375" style="3" bestFit="1" customWidth="1"/>
    <col min="16132" max="16132" width="2.5703125" style="3" customWidth="1"/>
    <col min="16133" max="16133" width="32.28515625" style="3" customWidth="1"/>
    <col min="16134" max="16134" width="13" style="3" bestFit="1" customWidth="1"/>
    <col min="16135" max="16135" width="1" style="3" customWidth="1"/>
    <col min="16136" max="16136" width="33.28515625" style="3" bestFit="1" customWidth="1"/>
    <col min="16137" max="16137" width="13" style="3" bestFit="1" customWidth="1"/>
    <col min="16138" max="16138" width="31.28515625" style="3"/>
    <col min="16139" max="16140" width="8.7109375" style="3" bestFit="1" customWidth="1"/>
    <col min="16141" max="16384" width="31.28515625" style="3"/>
  </cols>
  <sheetData>
    <row r="1" spans="1:12">
      <c r="A1" s="1" t="s">
        <v>21</v>
      </c>
    </row>
    <row r="2" spans="1:12">
      <c r="A2" s="7" t="s">
        <v>197</v>
      </c>
      <c r="I2" s="8" t="s">
        <v>198</v>
      </c>
    </row>
    <row r="3" spans="1:12">
      <c r="A3" s="9" t="s">
        <v>22</v>
      </c>
      <c r="B3" s="10" t="s">
        <v>1</v>
      </c>
      <c r="C3" s="11">
        <f>F3/F4</f>
        <v>0.55796910558860557</v>
      </c>
      <c r="D3" s="12"/>
      <c r="E3" s="13" t="s">
        <v>23</v>
      </c>
      <c r="F3" s="84">
        <v>10573567</v>
      </c>
      <c r="G3" s="14"/>
      <c r="H3" s="15" t="s">
        <v>199</v>
      </c>
      <c r="I3" s="84">
        <f>F7+11503802</f>
        <v>20142158</v>
      </c>
      <c r="K3" s="11">
        <v>0.59016196378942232</v>
      </c>
      <c r="L3" s="11">
        <f>C3-K3</f>
        <v>-3.2192858200816743E-2</v>
      </c>
    </row>
    <row r="4" spans="1:12">
      <c r="A4" s="16" t="s">
        <v>200</v>
      </c>
      <c r="B4" s="17" t="s">
        <v>201</v>
      </c>
      <c r="C4" s="18">
        <f>SUM(F5:F6)/F7</f>
        <v>1.3528772141365788</v>
      </c>
      <c r="D4" s="19"/>
      <c r="E4" s="16" t="s">
        <v>25</v>
      </c>
      <c r="F4" s="20">
        <v>18950094</v>
      </c>
      <c r="G4" s="21"/>
      <c r="H4" s="22" t="s">
        <v>26</v>
      </c>
      <c r="I4" s="20">
        <v>0</v>
      </c>
      <c r="K4" s="18">
        <v>1.2489724628634415</v>
      </c>
      <c r="L4" s="18">
        <f t="shared" ref="L4:L24" si="0">C4-K4</f>
        <v>0.10390475127313725</v>
      </c>
    </row>
    <row r="5" spans="1:12">
      <c r="A5" s="23" t="s">
        <v>27</v>
      </c>
      <c r="B5" s="24" t="s">
        <v>2</v>
      </c>
      <c r="C5" s="25">
        <f>F9/F10</f>
        <v>1.1492672153553938</v>
      </c>
      <c r="D5" s="19"/>
      <c r="E5" s="16" t="s">
        <v>202</v>
      </c>
      <c r="F5" s="20">
        <v>8376527</v>
      </c>
      <c r="G5" s="21"/>
      <c r="H5" s="22" t="s">
        <v>203</v>
      </c>
      <c r="I5" s="20">
        <f>11648142-8638356-21815</f>
        <v>2987971</v>
      </c>
      <c r="K5" s="25">
        <v>1.2765880098049001</v>
      </c>
      <c r="L5" s="25">
        <f t="shared" si="0"/>
        <v>-0.12732079444950628</v>
      </c>
    </row>
    <row r="6" spans="1:12">
      <c r="A6" s="16" t="s">
        <v>28</v>
      </c>
      <c r="B6" s="17" t="s">
        <v>204</v>
      </c>
      <c r="C6" s="18">
        <f>(F9-F11-I38)/F10</f>
        <v>0.70287753093850203</v>
      </c>
      <c r="D6" s="19"/>
      <c r="E6" s="16" t="s">
        <v>205</v>
      </c>
      <c r="F6" s="20">
        <v>3310108</v>
      </c>
      <c r="G6" s="21"/>
      <c r="H6" s="22" t="s">
        <v>29</v>
      </c>
      <c r="I6" s="20">
        <f>F9-F10</f>
        <v>948380</v>
      </c>
      <c r="K6" s="18">
        <v>0.7876312098969267</v>
      </c>
      <c r="L6" s="18">
        <f t="shared" si="0"/>
        <v>-8.4753678958424672E-2</v>
      </c>
    </row>
    <row r="7" spans="1:12">
      <c r="A7" s="16" t="s">
        <v>206</v>
      </c>
      <c r="B7" s="17" t="s">
        <v>3</v>
      </c>
      <c r="C7" s="26">
        <f>F13/F14</f>
        <v>13.0173588532979</v>
      </c>
      <c r="D7" s="27"/>
      <c r="E7" s="16" t="s">
        <v>207</v>
      </c>
      <c r="F7" s="20">
        <v>8638356</v>
      </c>
      <c r="G7" s="21"/>
      <c r="H7" s="22" t="s">
        <v>31</v>
      </c>
      <c r="I7" s="20">
        <f>I47</f>
        <v>9240280</v>
      </c>
      <c r="K7" s="26">
        <v>-5.2465996179604613</v>
      </c>
      <c r="L7" s="26">
        <f t="shared" si="0"/>
        <v>18.263958471258363</v>
      </c>
    </row>
    <row r="8" spans="1:12">
      <c r="A8" s="23" t="s">
        <v>208</v>
      </c>
      <c r="B8" s="24" t="s">
        <v>209</v>
      </c>
      <c r="C8" s="29">
        <f>(F13+I39+I40)/F14</f>
        <v>30.576555181740222</v>
      </c>
      <c r="D8" s="27"/>
      <c r="E8" s="16"/>
      <c r="F8" s="20"/>
      <c r="G8" s="21"/>
      <c r="H8" s="22"/>
      <c r="I8" s="28"/>
      <c r="K8" s="29">
        <v>15.433143080711606</v>
      </c>
      <c r="L8" s="29">
        <f t="shared" si="0"/>
        <v>15.143412101028616</v>
      </c>
    </row>
    <row r="9" spans="1:12">
      <c r="A9" s="16" t="s">
        <v>210</v>
      </c>
      <c r="B9" s="30" t="s">
        <v>149</v>
      </c>
      <c r="C9" s="31">
        <f>F18/(SUM(I12:I15)/2)</f>
        <v>4.4579883397419025</v>
      </c>
      <c r="D9" s="32"/>
      <c r="E9" s="16" t="s">
        <v>34</v>
      </c>
      <c r="F9" s="20">
        <v>7301952</v>
      </c>
      <c r="G9" s="21"/>
      <c r="H9" s="22" t="s">
        <v>35</v>
      </c>
      <c r="I9" s="20">
        <v>1520394</v>
      </c>
      <c r="K9" s="31">
        <v>4.6767890640311336</v>
      </c>
      <c r="L9" s="31">
        <f>C9-K9</f>
        <v>-0.21880072428923114</v>
      </c>
    </row>
    <row r="10" spans="1:12">
      <c r="A10" s="33" t="s">
        <v>211</v>
      </c>
      <c r="B10" s="17" t="s">
        <v>83</v>
      </c>
      <c r="C10" s="26">
        <f>365/C9</f>
        <v>81.875494546747035</v>
      </c>
      <c r="D10" s="34"/>
      <c r="E10" s="35" t="s">
        <v>37</v>
      </c>
      <c r="F10" s="20">
        <v>6353572</v>
      </c>
      <c r="G10" s="21"/>
      <c r="H10" s="22" t="s">
        <v>212</v>
      </c>
      <c r="I10" s="20">
        <f>F14</f>
        <v>106113</v>
      </c>
      <c r="K10" s="26">
        <v>78.044999464951317</v>
      </c>
      <c r="L10" s="26">
        <f t="shared" si="0"/>
        <v>3.8304950817957177</v>
      </c>
    </row>
    <row r="11" spans="1:12">
      <c r="A11" s="33" t="s">
        <v>213</v>
      </c>
      <c r="B11" s="30" t="s">
        <v>214</v>
      </c>
      <c r="C11" s="26">
        <f>I18/(SUM(I16+I17)/2)</f>
        <v>3.037570464879682</v>
      </c>
      <c r="D11" s="27"/>
      <c r="E11" s="16" t="s">
        <v>40</v>
      </c>
      <c r="F11" s="20">
        <v>2767367</v>
      </c>
      <c r="G11" s="21"/>
      <c r="H11" s="22" t="s">
        <v>41</v>
      </c>
      <c r="I11" s="20">
        <f>F13-F14</f>
        <v>1275198</v>
      </c>
      <c r="K11" s="26">
        <v>2.9937714403313924</v>
      </c>
      <c r="L11" s="26">
        <f t="shared" si="0"/>
        <v>4.3799024548289545E-2</v>
      </c>
    </row>
    <row r="12" spans="1:12">
      <c r="A12" s="16" t="s">
        <v>215</v>
      </c>
      <c r="B12" s="36" t="s">
        <v>216</v>
      </c>
      <c r="C12" s="37">
        <f>I18/(SUM(I27:I30)/2)</f>
        <v>5.9637689511697412</v>
      </c>
      <c r="D12" s="38"/>
      <c r="E12" s="16" t="s">
        <v>217</v>
      </c>
      <c r="F12" s="20">
        <v>152817</v>
      </c>
      <c r="G12" s="21"/>
      <c r="H12" s="22" t="s">
        <v>43</v>
      </c>
      <c r="I12" s="20">
        <v>290737</v>
      </c>
      <c r="K12" s="37">
        <v>5.7242227594407815</v>
      </c>
      <c r="L12" s="37">
        <f t="shared" si="0"/>
        <v>0.23954619172895963</v>
      </c>
    </row>
    <row r="13" spans="1:12">
      <c r="A13" s="16" t="s">
        <v>218</v>
      </c>
      <c r="B13" s="30" t="s">
        <v>4</v>
      </c>
      <c r="C13" s="26">
        <f>365/C11</f>
        <v>120.16182150179606</v>
      </c>
      <c r="D13" s="34"/>
      <c r="E13" s="33" t="s">
        <v>219</v>
      </c>
      <c r="F13" s="85">
        <f>1275198+106113</f>
        <v>1381311</v>
      </c>
      <c r="G13" s="21"/>
      <c r="H13" s="39" t="s">
        <v>45</v>
      </c>
      <c r="I13" s="20">
        <v>2470139</v>
      </c>
      <c r="K13" s="26">
        <v>121.91979490578503</v>
      </c>
      <c r="L13" s="26">
        <f t="shared" si="0"/>
        <v>-1.7579734039889701</v>
      </c>
    </row>
    <row r="14" spans="1:12">
      <c r="A14" s="16" t="s">
        <v>220</v>
      </c>
      <c r="B14" s="40" t="s">
        <v>221</v>
      </c>
      <c r="C14" s="26">
        <f>F18/F7</f>
        <v>1.4613814248914956</v>
      </c>
      <c r="D14" s="27"/>
      <c r="E14" s="33" t="s">
        <v>222</v>
      </c>
      <c r="F14" s="85">
        <v>106113</v>
      </c>
      <c r="G14" s="21"/>
      <c r="H14" s="39" t="s">
        <v>47</v>
      </c>
      <c r="I14" s="20">
        <v>258024</v>
      </c>
      <c r="K14" s="26">
        <v>1.2150060780898926</v>
      </c>
      <c r="L14" s="26">
        <f t="shared" si="0"/>
        <v>0.246375346801603</v>
      </c>
    </row>
    <row r="15" spans="1:12">
      <c r="A15" s="16" t="s">
        <v>223</v>
      </c>
      <c r="B15" s="17" t="s">
        <v>224</v>
      </c>
      <c r="C15" s="26">
        <f>F18/F4</f>
        <v>0.66616730238910693</v>
      </c>
      <c r="D15" s="27"/>
      <c r="E15" s="16" t="s">
        <v>49</v>
      </c>
      <c r="F15" s="20">
        <v>1083331</v>
      </c>
      <c r="G15" s="21"/>
      <c r="H15" s="39" t="s">
        <v>225</v>
      </c>
      <c r="I15" s="20">
        <f>2292827+351784</f>
        <v>2644611</v>
      </c>
      <c r="K15" s="26">
        <v>0.65745562973445326</v>
      </c>
      <c r="L15" s="26">
        <f t="shared" si="0"/>
        <v>8.7116726546536682E-3</v>
      </c>
    </row>
    <row r="16" spans="1:12">
      <c r="A16" s="33" t="s">
        <v>226</v>
      </c>
      <c r="B16" s="17" t="s">
        <v>227</v>
      </c>
      <c r="C16" s="18">
        <f>(F15+I10*0.83)/F16</f>
        <v>6.2744548005020509E-2</v>
      </c>
      <c r="D16" s="19"/>
      <c r="E16" s="16" t="s">
        <v>52</v>
      </c>
      <c r="F16" s="20">
        <f>(F4+I22)/2</f>
        <v>18669427.5</v>
      </c>
      <c r="G16" s="21"/>
      <c r="H16" s="22" t="s">
        <v>53</v>
      </c>
      <c r="I16" s="20">
        <f>2769986+209293</f>
        <v>2979279</v>
      </c>
      <c r="K16" s="18">
        <v>-1.8047453480236827E-2</v>
      </c>
      <c r="L16" s="18">
        <f t="shared" si="0"/>
        <v>8.0792001485257336E-2</v>
      </c>
    </row>
    <row r="17" spans="1:12">
      <c r="A17" s="16" t="s">
        <v>54</v>
      </c>
      <c r="B17" s="17" t="s">
        <v>228</v>
      </c>
      <c r="C17" s="18">
        <f>F15/F17</f>
        <v>0.13662097063691636</v>
      </c>
      <c r="D17" s="19"/>
      <c r="E17" s="16" t="s">
        <v>229</v>
      </c>
      <c r="F17" s="20">
        <f>(F5+I21)/2</f>
        <v>7929463.5</v>
      </c>
      <c r="G17" s="21"/>
      <c r="H17" s="41" t="s">
        <v>56</v>
      </c>
      <c r="I17" s="20">
        <f>2767367+300338</f>
        <v>3067705</v>
      </c>
      <c r="K17" s="18">
        <v>-4.9121452930691832E-2</v>
      </c>
      <c r="L17" s="18">
        <f t="shared" si="0"/>
        <v>0.1857424235676082</v>
      </c>
    </row>
    <row r="18" spans="1:12">
      <c r="A18" s="16" t="s">
        <v>230</v>
      </c>
      <c r="B18" s="30" t="s">
        <v>84</v>
      </c>
      <c r="C18" s="18">
        <f>I9/I19</f>
        <v>0.91691412912112435</v>
      </c>
      <c r="D18" s="19"/>
      <c r="E18" s="16" t="s">
        <v>58</v>
      </c>
      <c r="F18" s="20">
        <v>12623933</v>
      </c>
      <c r="G18" s="21"/>
      <c r="H18" s="22" t="s">
        <v>231</v>
      </c>
      <c r="I18" s="20">
        <v>9184070</v>
      </c>
      <c r="K18" s="18">
        <v>0.82572712952397953</v>
      </c>
      <c r="L18" s="18">
        <f t="shared" si="0"/>
        <v>9.1186999597144824E-2</v>
      </c>
    </row>
    <row r="19" spans="1:12">
      <c r="A19" s="16" t="s">
        <v>232</v>
      </c>
      <c r="B19" s="30" t="s">
        <v>85</v>
      </c>
      <c r="C19" s="18">
        <f>I11/I19</f>
        <v>0.76904214540901861</v>
      </c>
      <c r="D19" s="19"/>
      <c r="E19" s="16" t="s">
        <v>233</v>
      </c>
      <c r="F19" s="20">
        <v>165816</v>
      </c>
      <c r="G19" s="21"/>
      <c r="H19" s="22" t="s">
        <v>62</v>
      </c>
      <c r="I19" s="20">
        <v>1658164</v>
      </c>
      <c r="K19" s="18">
        <v>-0.32737533802446561</v>
      </c>
      <c r="L19" s="18">
        <f t="shared" si="0"/>
        <v>1.0964174834334841</v>
      </c>
    </row>
    <row r="20" spans="1:12">
      <c r="A20" s="16" t="s">
        <v>234</v>
      </c>
      <c r="B20" s="40" t="s">
        <v>5</v>
      </c>
      <c r="C20" s="18">
        <f>F15/F18</f>
        <v>8.5815648736412023E-2</v>
      </c>
      <c r="D20" s="19"/>
      <c r="E20" s="16" t="s">
        <v>64</v>
      </c>
      <c r="F20" s="20">
        <v>2890162</v>
      </c>
      <c r="G20" s="21"/>
      <c r="H20" s="22" t="s">
        <v>235</v>
      </c>
      <c r="I20" s="20">
        <v>8329082</v>
      </c>
      <c r="K20" s="18">
        <v>-3.2480406700189729E-2</v>
      </c>
      <c r="L20" s="18">
        <f t="shared" si="0"/>
        <v>0.11829605543660175</v>
      </c>
    </row>
    <row r="21" spans="1:12">
      <c r="A21" s="33" t="s">
        <v>236</v>
      </c>
      <c r="B21" s="17" t="s">
        <v>6</v>
      </c>
      <c r="C21" s="26">
        <f>F15/F19</f>
        <v>6.5333321271771121</v>
      </c>
      <c r="D21" s="27"/>
      <c r="E21" s="16" t="s">
        <v>66</v>
      </c>
      <c r="F21" s="20">
        <f>SUM(F22:F26)</f>
        <v>11220561</v>
      </c>
      <c r="G21" s="21"/>
      <c r="H21" s="22" t="s">
        <v>237</v>
      </c>
      <c r="I21" s="20">
        <v>7482400</v>
      </c>
      <c r="K21" s="26">
        <v>-2.3558643315482222</v>
      </c>
      <c r="L21" s="26">
        <f t="shared" si="0"/>
        <v>8.8891964587253334</v>
      </c>
    </row>
    <row r="22" spans="1:12">
      <c r="A22" s="16" t="s">
        <v>238</v>
      </c>
      <c r="B22" s="17" t="s">
        <v>148</v>
      </c>
      <c r="C22" s="18">
        <f>F20/F10</f>
        <v>0.45488773873971994</v>
      </c>
      <c r="D22" s="19"/>
      <c r="E22" s="35" t="s">
        <v>239</v>
      </c>
      <c r="F22" s="20">
        <v>2073444</v>
      </c>
      <c r="G22" s="21"/>
      <c r="H22" s="22" t="s">
        <v>240</v>
      </c>
      <c r="I22" s="20">
        <v>18388761</v>
      </c>
      <c r="K22" s="18">
        <v>0.28989685908247381</v>
      </c>
      <c r="L22" s="18">
        <f t="shared" si="0"/>
        <v>0.16499087965724613</v>
      </c>
    </row>
    <row r="23" spans="1:12">
      <c r="A23" s="16" t="s">
        <v>241</v>
      </c>
      <c r="B23" s="17" t="s">
        <v>7</v>
      </c>
      <c r="C23" s="18">
        <f>F21/F27</f>
        <v>0.82030213536194685</v>
      </c>
      <c r="D23" s="19"/>
      <c r="E23" s="35" t="s">
        <v>15</v>
      </c>
      <c r="F23" s="20">
        <v>2695934</v>
      </c>
      <c r="G23" s="21"/>
      <c r="H23" s="22" t="s">
        <v>242</v>
      </c>
      <c r="I23" s="20">
        <f>(F7+I20)/2</f>
        <v>8483719</v>
      </c>
      <c r="K23" s="18">
        <v>0.64955719071380458</v>
      </c>
      <c r="L23" s="18">
        <f t="shared" si="0"/>
        <v>0.17074494464814227</v>
      </c>
    </row>
    <row r="24" spans="1:12">
      <c r="A24" s="16" t="s">
        <v>70</v>
      </c>
      <c r="B24" s="17" t="s">
        <v>86</v>
      </c>
      <c r="C24" s="18">
        <f>(F20-I24)/SUM(I3:I6)</f>
        <v>0.11314429809586632</v>
      </c>
      <c r="D24" s="19"/>
      <c r="E24" s="35" t="s">
        <v>16</v>
      </c>
      <c r="F24" s="20">
        <v>1847345</v>
      </c>
      <c r="G24" s="21"/>
      <c r="H24" s="22" t="s">
        <v>243</v>
      </c>
      <c r="I24" s="20">
        <f>F42</f>
        <v>165816</v>
      </c>
      <c r="K24" s="18">
        <v>4.762271561960784E-2</v>
      </c>
      <c r="L24" s="18">
        <f t="shared" si="0"/>
        <v>6.5521582476258472E-2</v>
      </c>
    </row>
    <row r="25" spans="1:12">
      <c r="A25" s="72" t="s">
        <v>244</v>
      </c>
      <c r="B25" s="73" t="s">
        <v>114</v>
      </c>
      <c r="C25" s="26">
        <f>(F18-I7)/I9</f>
        <v>2.2255106242197744</v>
      </c>
      <c r="D25" s="27"/>
      <c r="E25" s="35" t="s">
        <v>19</v>
      </c>
      <c r="F25" s="20">
        <v>1713676</v>
      </c>
      <c r="G25" s="21"/>
      <c r="H25" s="22" t="s">
        <v>245</v>
      </c>
      <c r="I25" s="86">
        <v>805317</v>
      </c>
      <c r="K25" s="26">
        <v>1.0677709939023106</v>
      </c>
      <c r="L25" s="26">
        <f>C26-K25</f>
        <v>7.2586501358968825E-3</v>
      </c>
    </row>
    <row r="26" spans="1:12">
      <c r="A26" s="16" t="s">
        <v>246</v>
      </c>
      <c r="B26" s="17" t="s">
        <v>8</v>
      </c>
      <c r="C26" s="26">
        <f>I9/(I9-I10)</f>
        <v>1.0750296440382074</v>
      </c>
      <c r="D26" s="27"/>
      <c r="E26" s="35" t="s">
        <v>247</v>
      </c>
      <c r="F26" s="20">
        <f>F20</f>
        <v>2890162</v>
      </c>
      <c r="G26" s="21"/>
      <c r="H26" s="22" t="s">
        <v>248</v>
      </c>
      <c r="I26" s="86">
        <v>0</v>
      </c>
      <c r="K26" s="42"/>
      <c r="L26" s="42"/>
    </row>
    <row r="27" spans="1:12">
      <c r="A27" s="16"/>
      <c r="B27" s="17"/>
      <c r="C27" s="43"/>
      <c r="D27" s="44"/>
      <c r="E27" s="33" t="s">
        <v>249</v>
      </c>
      <c r="F27" s="20">
        <f>SUM(F28:F42)</f>
        <v>13678571</v>
      </c>
      <c r="G27" s="21"/>
      <c r="H27" s="22" t="s">
        <v>250</v>
      </c>
      <c r="I27" s="87">
        <v>759468</v>
      </c>
      <c r="K27" s="43"/>
      <c r="L27" s="43"/>
    </row>
    <row r="28" spans="1:12">
      <c r="A28" s="16"/>
      <c r="B28" s="17"/>
      <c r="C28" s="43"/>
      <c r="D28" s="44"/>
      <c r="E28" s="88" t="s">
        <v>251</v>
      </c>
      <c r="F28" s="87">
        <v>2214938</v>
      </c>
      <c r="G28" s="45"/>
      <c r="H28" s="22" t="s">
        <v>252</v>
      </c>
      <c r="I28" s="87">
        <v>715132</v>
      </c>
      <c r="K28" s="43"/>
      <c r="L28" s="43"/>
    </row>
    <row r="29" spans="1:12">
      <c r="A29" s="16"/>
      <c r="B29" s="17"/>
      <c r="C29" s="43"/>
      <c r="D29" s="44"/>
      <c r="E29" s="35" t="s">
        <v>15</v>
      </c>
      <c r="F29" s="87">
        <v>1982520</v>
      </c>
      <c r="G29" s="21"/>
      <c r="H29" s="22" t="s">
        <v>253</v>
      </c>
      <c r="I29" s="87">
        <v>739823</v>
      </c>
      <c r="K29" s="43"/>
      <c r="L29" s="43"/>
    </row>
    <row r="30" spans="1:12">
      <c r="A30" s="16"/>
      <c r="B30" s="17"/>
      <c r="C30" s="43"/>
      <c r="D30" s="44"/>
      <c r="E30" s="35" t="s">
        <v>16</v>
      </c>
      <c r="F30" s="87">
        <v>2268581</v>
      </c>
      <c r="G30" s="21"/>
      <c r="H30" s="22" t="s">
        <v>254</v>
      </c>
      <c r="I30" s="87">
        <v>865532</v>
      </c>
      <c r="K30" s="43"/>
      <c r="L30" s="43"/>
    </row>
    <row r="31" spans="1:12" ht="15.75">
      <c r="A31" s="294" t="s">
        <v>255</v>
      </c>
      <c r="B31" s="292"/>
      <c r="C31" s="293"/>
      <c r="D31" s="46"/>
      <c r="E31" s="35" t="s">
        <v>256</v>
      </c>
      <c r="F31" s="87">
        <v>2223192</v>
      </c>
      <c r="G31" s="21"/>
      <c r="H31" s="22"/>
      <c r="I31" s="47"/>
      <c r="K31" s="66"/>
      <c r="L31" s="66"/>
    </row>
    <row r="32" spans="1:12">
      <c r="A32" s="48" t="s">
        <v>257</v>
      </c>
      <c r="B32" s="30"/>
      <c r="C32" s="49"/>
      <c r="D32" s="19"/>
      <c r="E32" s="35" t="s">
        <v>258</v>
      </c>
      <c r="F32" s="89">
        <f>I25+I26</f>
        <v>805317</v>
      </c>
      <c r="G32" s="45"/>
      <c r="H32" s="41"/>
      <c r="I32" s="47"/>
      <c r="K32" s="49"/>
      <c r="L32" s="49"/>
    </row>
    <row r="33" spans="1:12">
      <c r="A33" s="50" t="s">
        <v>259</v>
      </c>
      <c r="B33" s="51"/>
      <c r="C33" s="49"/>
      <c r="D33" s="19"/>
      <c r="E33" s="35" t="s">
        <v>260</v>
      </c>
      <c r="F33" s="20">
        <v>0</v>
      </c>
      <c r="G33" s="21"/>
      <c r="H33" s="41"/>
      <c r="I33" s="47"/>
      <c r="K33" s="49"/>
      <c r="L33" s="49"/>
    </row>
    <row r="34" spans="1:12">
      <c r="A34" s="52" t="s">
        <v>261</v>
      </c>
      <c r="B34" s="51"/>
      <c r="C34" s="49"/>
      <c r="D34" s="19"/>
      <c r="E34" s="35" t="s">
        <v>15</v>
      </c>
      <c r="F34" s="20">
        <v>161590</v>
      </c>
      <c r="G34" s="21"/>
      <c r="H34" s="41"/>
      <c r="I34" s="47"/>
      <c r="K34" s="49"/>
      <c r="L34" s="49"/>
    </row>
    <row r="35" spans="1:12">
      <c r="A35" s="53" t="s">
        <v>262</v>
      </c>
      <c r="B35" s="30"/>
      <c r="C35" s="49"/>
      <c r="D35" s="19"/>
      <c r="E35" s="35" t="s">
        <v>16</v>
      </c>
      <c r="F35" s="20">
        <v>698218</v>
      </c>
      <c r="G35" s="21"/>
      <c r="H35" s="41"/>
      <c r="I35" s="47"/>
      <c r="K35" s="49"/>
      <c r="L35" s="49"/>
    </row>
    <row r="36" spans="1:12">
      <c r="A36" s="16"/>
      <c r="B36" s="30"/>
      <c r="C36" s="49"/>
      <c r="D36" s="19"/>
      <c r="E36" s="35" t="s">
        <v>263</v>
      </c>
      <c r="F36" s="20">
        <v>205576</v>
      </c>
      <c r="G36" s="21"/>
      <c r="H36" s="41" t="s">
        <v>264</v>
      </c>
      <c r="I36" s="47">
        <f>SUM(I32:I35)</f>
        <v>0</v>
      </c>
      <c r="K36" s="49"/>
      <c r="L36" s="49"/>
    </row>
    <row r="37" spans="1:12">
      <c r="A37" s="16"/>
      <c r="B37" s="30"/>
      <c r="C37" s="49"/>
      <c r="D37" s="19"/>
      <c r="E37" s="35" t="s">
        <v>265</v>
      </c>
      <c r="F37" s="20">
        <v>99630</v>
      </c>
      <c r="G37" s="21"/>
      <c r="H37" s="22"/>
      <c r="I37" s="47"/>
      <c r="K37" s="49"/>
      <c r="L37" s="49"/>
    </row>
    <row r="38" spans="1:12">
      <c r="A38" s="16"/>
      <c r="B38" s="30"/>
      <c r="C38" s="49"/>
      <c r="D38" s="19"/>
      <c r="E38" s="35" t="s">
        <v>266</v>
      </c>
      <c r="F38" s="20">
        <v>962886</v>
      </c>
      <c r="G38" s="54"/>
      <c r="H38" s="22" t="s">
        <v>267</v>
      </c>
      <c r="I38" s="47">
        <v>68802</v>
      </c>
      <c r="K38" s="49"/>
      <c r="L38" s="49"/>
    </row>
    <row r="39" spans="1:12">
      <c r="A39" s="16"/>
      <c r="B39" s="30"/>
      <c r="C39" s="49"/>
      <c r="D39" s="19"/>
      <c r="E39" s="35" t="s">
        <v>15</v>
      </c>
      <c r="F39" s="90">
        <v>596939</v>
      </c>
      <c r="G39" s="45"/>
      <c r="H39" s="22" t="s">
        <v>268</v>
      </c>
      <c r="I39" s="91">
        <v>1813306</v>
      </c>
      <c r="K39" s="49"/>
      <c r="L39" s="49"/>
    </row>
    <row r="40" spans="1:12">
      <c r="A40" s="16"/>
      <c r="B40" s="30"/>
      <c r="C40" s="49"/>
      <c r="D40" s="19"/>
      <c r="E40" s="35" t="s">
        <v>16</v>
      </c>
      <c r="F40" s="87">
        <v>630102</v>
      </c>
      <c r="G40" s="45"/>
      <c r="H40" s="22" t="s">
        <v>269</v>
      </c>
      <c r="I40" s="91">
        <v>49953</v>
      </c>
      <c r="K40" s="49"/>
      <c r="L40" s="49"/>
    </row>
    <row r="41" spans="1:12">
      <c r="A41" s="16"/>
      <c r="B41" s="30"/>
      <c r="C41" s="49"/>
      <c r="D41" s="19"/>
      <c r="E41" s="92" t="s">
        <v>19</v>
      </c>
      <c r="F41" s="87">
        <v>663266</v>
      </c>
      <c r="G41" s="55"/>
      <c r="H41" s="56"/>
      <c r="I41" s="57"/>
      <c r="K41" s="49"/>
      <c r="L41" s="49"/>
    </row>
    <row r="42" spans="1:12">
      <c r="A42" s="58"/>
      <c r="B42" s="59"/>
      <c r="C42" s="60"/>
      <c r="D42" s="61"/>
      <c r="E42" s="93" t="s">
        <v>247</v>
      </c>
      <c r="F42" s="94">
        <v>165816</v>
      </c>
      <c r="G42" s="62"/>
      <c r="K42" s="60"/>
      <c r="L42" s="60"/>
    </row>
    <row r="43" spans="1:12">
      <c r="F43" s="5"/>
      <c r="G43" s="5"/>
      <c r="H43" s="3" t="s">
        <v>115</v>
      </c>
    </row>
    <row r="44" spans="1:12">
      <c r="E44" s="63"/>
      <c r="F44" s="5"/>
      <c r="G44" s="5"/>
      <c r="H44" s="3" t="s">
        <v>116</v>
      </c>
      <c r="I44" s="5">
        <v>9184070</v>
      </c>
    </row>
    <row r="45" spans="1:12">
      <c r="E45" s="63"/>
      <c r="F45" s="5"/>
      <c r="G45" s="5"/>
      <c r="H45" s="3" t="s">
        <v>117</v>
      </c>
      <c r="I45" s="5">
        <v>1919469</v>
      </c>
    </row>
    <row r="46" spans="1:12">
      <c r="E46" s="63"/>
      <c r="F46" s="5"/>
      <c r="G46" s="5"/>
      <c r="H46" s="3" t="s">
        <v>118</v>
      </c>
      <c r="I46" s="5">
        <f>I39+I40</f>
        <v>1863259</v>
      </c>
    </row>
    <row r="47" spans="1:12" ht="15" thickBot="1">
      <c r="E47" s="63"/>
      <c r="F47" s="5"/>
      <c r="G47" s="5"/>
      <c r="H47" s="3" t="s">
        <v>119</v>
      </c>
      <c r="I47" s="76">
        <f>I44+I45-I46</f>
        <v>9240280</v>
      </c>
    </row>
    <row r="48" spans="1:12" ht="15" thickTop="1">
      <c r="E48" s="63"/>
      <c r="F48" s="5"/>
      <c r="G48" s="5"/>
    </row>
    <row r="59" spans="2:2">
      <c r="B59" s="64"/>
    </row>
    <row r="60" spans="2:2">
      <c r="B60" s="65"/>
    </row>
    <row r="61" spans="2:2">
      <c r="B61" s="64"/>
    </row>
  </sheetData>
  <mergeCells count="1">
    <mergeCell ref="A31:C31"/>
  </mergeCells>
  <phoneticPr fontId="3" type="noConversion"/>
  <printOptions horizontalCentered="1"/>
  <pageMargins left="0.39370078740157483" right="0" top="1.1811023622047245" bottom="0.47244094488188981" header="0.59055118110236227" footer="0.15748031496062992"/>
  <pageSetup paperSize="9" scale="62" orientation="landscape" r:id="rId1"/>
  <headerFooter alignWithMargins="0">
    <oddHeader>&amp;L
帝寶101Q2財務比率(合併)&amp;RPreparer: DY 2012/8/17
Reviewer: KAY 2012/8/20 CH 2012/8/20 AMMY 2012/8/20
2320-2: &amp;P/&amp;N</oddHeader>
    <oddFooter>&amp;L帝寶工業股份有限公司 
Period End: 2012/6/30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L61"/>
  <sheetViews>
    <sheetView zoomScale="120" zoomScaleNormal="120" zoomScaleSheetLayoutView="100" workbookViewId="0">
      <pane ySplit="2" topLeftCell="A3" activePane="bottomLeft" state="frozen"/>
      <selection activeCell="A30" sqref="A30"/>
      <selection pane="bottomLeft" activeCell="A30" sqref="A30"/>
    </sheetView>
  </sheetViews>
  <sheetFormatPr defaultColWidth="31.28515625" defaultRowHeight="14.25"/>
  <cols>
    <col min="1" max="1" width="34" style="3" customWidth="1"/>
    <col min="2" max="2" width="23.140625" style="1" bestFit="1" customWidth="1"/>
    <col min="3" max="3" width="8.7109375" style="2" bestFit="1" customWidth="1"/>
    <col min="4" max="4" width="2.5703125" style="2" customWidth="1"/>
    <col min="5" max="5" width="32.28515625" style="3" customWidth="1"/>
    <col min="6" max="6" width="13" style="4" bestFit="1" customWidth="1"/>
    <col min="7" max="7" width="1" style="4" customWidth="1"/>
    <col min="8" max="8" width="36.85546875" style="3" customWidth="1"/>
    <col min="9" max="9" width="13" style="5" bestFit="1" customWidth="1"/>
    <col min="10" max="10" width="31.28515625" style="6"/>
    <col min="11" max="12" width="8.7109375" style="2" bestFit="1" customWidth="1"/>
    <col min="13" max="16384" width="31.28515625" style="3"/>
  </cols>
  <sheetData>
    <row r="1" spans="1:12">
      <c r="A1" s="1" t="s">
        <v>21</v>
      </c>
    </row>
    <row r="2" spans="1:12">
      <c r="A2" s="7" t="s">
        <v>128</v>
      </c>
      <c r="I2" s="8" t="s">
        <v>0</v>
      </c>
    </row>
    <row r="3" spans="1:12">
      <c r="A3" s="9" t="s">
        <v>22</v>
      </c>
      <c r="B3" s="10" t="s">
        <v>1</v>
      </c>
      <c r="C3" s="11">
        <f>F3/F4</f>
        <v>0.57834658830919028</v>
      </c>
      <c r="D3" s="12"/>
      <c r="E3" s="13" t="s">
        <v>23</v>
      </c>
      <c r="F3" s="67">
        <v>12225875</v>
      </c>
      <c r="G3" s="14"/>
      <c r="H3" s="15" t="s">
        <v>24</v>
      </c>
      <c r="I3" s="67">
        <f>F7+12207803</f>
        <v>21722936</v>
      </c>
      <c r="K3" s="11">
        <v>0.59016196378942232</v>
      </c>
      <c r="L3" s="11">
        <f>C3-K3</f>
        <v>-1.1815375480232038E-2</v>
      </c>
    </row>
    <row r="4" spans="1:12">
      <c r="A4" s="16" t="s">
        <v>102</v>
      </c>
      <c r="B4" s="17" t="s">
        <v>100</v>
      </c>
      <c r="C4" s="18">
        <f>SUM(F5:F6)/F7</f>
        <v>1.4537648606698403</v>
      </c>
      <c r="D4" s="19"/>
      <c r="E4" s="16" t="s">
        <v>25</v>
      </c>
      <c r="F4" s="68">
        <v>21139357</v>
      </c>
      <c r="G4" s="21"/>
      <c r="H4" s="22" t="s">
        <v>26</v>
      </c>
      <c r="I4" s="20">
        <v>0</v>
      </c>
      <c r="K4" s="18">
        <v>1.2489724628634415</v>
      </c>
      <c r="L4" s="18">
        <f t="shared" ref="L4:L24" si="0">C4-K4</f>
        <v>0.2047923978063988</v>
      </c>
    </row>
    <row r="5" spans="1:12">
      <c r="A5" s="23" t="s">
        <v>27</v>
      </c>
      <c r="B5" s="24" t="s">
        <v>2</v>
      </c>
      <c r="C5" s="25">
        <f>F9/F10</f>
        <v>1.1601441766755523</v>
      </c>
      <c r="D5" s="19"/>
      <c r="E5" s="16" t="s">
        <v>104</v>
      </c>
      <c r="F5" s="68">
        <v>8913482</v>
      </c>
      <c r="G5" s="21"/>
      <c r="H5" s="22" t="s">
        <v>112</v>
      </c>
      <c r="I5" s="68">
        <f>12662658-9515133-42673</f>
        <v>3104852</v>
      </c>
      <c r="K5" s="25">
        <v>1.2765880098049001</v>
      </c>
      <c r="L5" s="25">
        <f t="shared" si="0"/>
        <v>-0.11644383312934781</v>
      </c>
    </row>
    <row r="6" spans="1:12">
      <c r="A6" s="16" t="s">
        <v>28</v>
      </c>
      <c r="B6" s="17" t="s">
        <v>14</v>
      </c>
      <c r="C6" s="18">
        <f>(F9-F11-I38)/F10</f>
        <v>0.69378797855251517</v>
      </c>
      <c r="D6" s="19"/>
      <c r="E6" s="16" t="s">
        <v>101</v>
      </c>
      <c r="F6" s="68">
        <v>4919284</v>
      </c>
      <c r="G6" s="21"/>
      <c r="H6" s="22" t="s">
        <v>29</v>
      </c>
      <c r="I6" s="20">
        <f>F9-F10</f>
        <v>1170108</v>
      </c>
      <c r="K6" s="18">
        <v>0.7876312098969267</v>
      </c>
      <c r="L6" s="18">
        <f t="shared" si="0"/>
        <v>-9.3843231344411526E-2</v>
      </c>
    </row>
    <row r="7" spans="1:12">
      <c r="A7" s="16" t="s">
        <v>30</v>
      </c>
      <c r="B7" s="17" t="s">
        <v>3</v>
      </c>
      <c r="C7" s="26">
        <f>F13/F14</f>
        <v>15.800686868196546</v>
      </c>
      <c r="D7" s="27"/>
      <c r="E7" s="16" t="s">
        <v>109</v>
      </c>
      <c r="F7" s="68">
        <v>9515133</v>
      </c>
      <c r="G7" s="21"/>
      <c r="H7" s="22" t="s">
        <v>31</v>
      </c>
      <c r="I7" s="28">
        <f>I47</f>
        <v>7206778</v>
      </c>
      <c r="K7" s="26">
        <v>-5.2465996179604613</v>
      </c>
      <c r="L7" s="26">
        <f t="shared" si="0"/>
        <v>21.047286486157006</v>
      </c>
    </row>
    <row r="8" spans="1:12">
      <c r="A8" s="23" t="s">
        <v>32</v>
      </c>
      <c r="B8" s="24" t="s">
        <v>18</v>
      </c>
      <c r="C8" s="29">
        <f>(F13+I39+I40)/F14</f>
        <v>34.449073456063495</v>
      </c>
      <c r="D8" s="27"/>
      <c r="E8" s="16" t="s">
        <v>121</v>
      </c>
      <c r="F8" s="20">
        <v>1037324</v>
      </c>
      <c r="G8" s="21"/>
      <c r="H8" s="22"/>
      <c r="I8" s="28"/>
      <c r="K8" s="29">
        <v>15.433143080711606</v>
      </c>
      <c r="L8" s="29">
        <f t="shared" si="0"/>
        <v>19.015930375351889</v>
      </c>
    </row>
    <row r="9" spans="1:12">
      <c r="A9" s="16" t="s">
        <v>33</v>
      </c>
      <c r="B9" s="30" t="s">
        <v>130</v>
      </c>
      <c r="C9" s="31">
        <f>F18/3*4/(SUM(I12:I15)/2)</f>
        <v>4.4631530590090875</v>
      </c>
      <c r="D9" s="32"/>
      <c r="E9" s="16" t="s">
        <v>34</v>
      </c>
      <c r="F9" s="68">
        <v>8476699</v>
      </c>
      <c r="G9" s="21"/>
      <c r="H9" s="22" t="s">
        <v>35</v>
      </c>
      <c r="I9" s="68">
        <v>1167843</v>
      </c>
      <c r="K9" s="31">
        <v>4.6767890640311336</v>
      </c>
      <c r="L9" s="31">
        <f>C9-K9</f>
        <v>-0.21363600502204605</v>
      </c>
    </row>
    <row r="10" spans="1:12">
      <c r="A10" s="33" t="s">
        <v>36</v>
      </c>
      <c r="B10" s="17" t="s">
        <v>129</v>
      </c>
      <c r="C10" s="26">
        <f>365/C9</f>
        <v>81.780748984897585</v>
      </c>
      <c r="D10" s="34"/>
      <c r="E10" s="35" t="s">
        <v>37</v>
      </c>
      <c r="F10" s="68">
        <v>7306591</v>
      </c>
      <c r="G10" s="21"/>
      <c r="H10" s="22" t="s">
        <v>38</v>
      </c>
      <c r="I10" s="68">
        <f>F14</f>
        <v>82403</v>
      </c>
      <c r="K10" s="26">
        <v>78.044999464951317</v>
      </c>
      <c r="L10" s="26">
        <f t="shared" si="0"/>
        <v>3.7357495199462676</v>
      </c>
    </row>
    <row r="11" spans="1:12">
      <c r="A11" s="33" t="s">
        <v>39</v>
      </c>
      <c r="B11" s="30" t="s">
        <v>131</v>
      </c>
      <c r="C11" s="26">
        <f>I18/3*4/(SUM(I16+I17)/2)</f>
        <v>2.8797895993214908</v>
      </c>
      <c r="D11" s="27"/>
      <c r="E11" s="16" t="s">
        <v>40</v>
      </c>
      <c r="F11" s="68">
        <v>3225667</v>
      </c>
      <c r="G11" s="21"/>
      <c r="H11" s="22" t="s">
        <v>41</v>
      </c>
      <c r="I11" s="68">
        <f>F13-F14</f>
        <v>1219621</v>
      </c>
      <c r="K11" s="26">
        <v>2.9937714403313924</v>
      </c>
      <c r="L11" s="26">
        <f t="shared" si="0"/>
        <v>-0.11398184100990161</v>
      </c>
    </row>
    <row r="12" spans="1:12">
      <c r="A12" s="16" t="s">
        <v>42</v>
      </c>
      <c r="B12" s="36" t="s">
        <v>132</v>
      </c>
      <c r="C12" s="37">
        <f>I18/3*4/(SUM(I27:I30)/2)</f>
        <v>5.837357085037433</v>
      </c>
      <c r="D12" s="38"/>
      <c r="E12" s="16" t="s">
        <v>88</v>
      </c>
      <c r="F12" s="68">
        <v>192295</v>
      </c>
      <c r="G12" s="21"/>
      <c r="H12" s="22" t="s">
        <v>43</v>
      </c>
      <c r="I12" s="68">
        <v>258024</v>
      </c>
      <c r="K12" s="37">
        <v>5.7242227594407815</v>
      </c>
      <c r="L12" s="37">
        <f t="shared" si="0"/>
        <v>0.11313432559665149</v>
      </c>
    </row>
    <row r="13" spans="1:12">
      <c r="A13" s="16" t="s">
        <v>44</v>
      </c>
      <c r="B13" s="30" t="s">
        <v>4</v>
      </c>
      <c r="C13" s="26">
        <f>365/C11</f>
        <v>126.74537059443436</v>
      </c>
      <c r="D13" s="34"/>
      <c r="E13" s="33" t="s">
        <v>87</v>
      </c>
      <c r="F13" s="68">
        <f>1219621+82403</f>
        <v>1302024</v>
      </c>
      <c r="G13" s="21"/>
      <c r="H13" s="39" t="s">
        <v>45</v>
      </c>
      <c r="I13" s="68">
        <v>2644611</v>
      </c>
      <c r="K13" s="26">
        <v>121.91979490578503</v>
      </c>
      <c r="L13" s="26">
        <f t="shared" si="0"/>
        <v>4.8255756886493373</v>
      </c>
    </row>
    <row r="14" spans="1:12">
      <c r="A14" s="16" t="s">
        <v>103</v>
      </c>
      <c r="B14" s="40" t="s">
        <v>133</v>
      </c>
      <c r="C14" s="26">
        <f>F18/3*4/I23</f>
        <v>1.4713758514042856</v>
      </c>
      <c r="D14" s="27"/>
      <c r="E14" s="33" t="s">
        <v>46</v>
      </c>
      <c r="F14" s="68">
        <v>82403</v>
      </c>
      <c r="G14" s="21"/>
      <c r="H14" s="39" t="s">
        <v>47</v>
      </c>
      <c r="I14" s="68">
        <v>317796</v>
      </c>
      <c r="K14" s="26">
        <v>1.2150060780898926</v>
      </c>
      <c r="L14" s="26">
        <f t="shared" si="0"/>
        <v>0.25636977331439303</v>
      </c>
    </row>
    <row r="15" spans="1:12">
      <c r="A15" s="16" t="s">
        <v>48</v>
      </c>
      <c r="B15" s="17" t="s">
        <v>134</v>
      </c>
      <c r="C15" s="26">
        <f>F18/3*4/F16</f>
        <v>0.66601323546842628</v>
      </c>
      <c r="D15" s="27"/>
      <c r="E15" s="16" t="s">
        <v>49</v>
      </c>
      <c r="F15" s="68">
        <v>955360</v>
      </c>
      <c r="G15" s="21"/>
      <c r="H15" s="39" t="s">
        <v>50</v>
      </c>
      <c r="I15" s="68">
        <v>2764263</v>
      </c>
      <c r="K15" s="26">
        <v>0.65745562973445326</v>
      </c>
      <c r="L15" s="26">
        <f t="shared" si="0"/>
        <v>8.5576057339730172E-3</v>
      </c>
    </row>
    <row r="16" spans="1:12">
      <c r="A16" s="33" t="s">
        <v>51</v>
      </c>
      <c r="B16" s="17" t="s">
        <v>135</v>
      </c>
      <c r="C16" s="18">
        <f>(F15+I10*0.83)/3*4/F16</f>
        <v>6.8071243033875947E-2</v>
      </c>
      <c r="D16" s="19"/>
      <c r="E16" s="16" t="s">
        <v>52</v>
      </c>
      <c r="F16" s="68">
        <f>(F4+I22)/2</f>
        <v>20052608.5</v>
      </c>
      <c r="G16" s="21"/>
      <c r="H16" s="22" t="s">
        <v>53</v>
      </c>
      <c r="I16" s="68">
        <v>3067705</v>
      </c>
      <c r="K16" s="18">
        <v>-1.8047453480236827E-2</v>
      </c>
      <c r="L16" s="18">
        <f t="shared" si="0"/>
        <v>8.6118696514112775E-2</v>
      </c>
    </row>
    <row r="17" spans="1:12">
      <c r="A17" s="16" t="s">
        <v>54</v>
      </c>
      <c r="B17" s="17" t="s">
        <v>136</v>
      </c>
      <c r="C17" s="18">
        <f>F15/3*4/F17</f>
        <v>0.14734675191127236</v>
      </c>
      <c r="D17" s="19"/>
      <c r="E17" s="16" t="s">
        <v>55</v>
      </c>
      <c r="F17" s="68">
        <f>(F5+I21)/2</f>
        <v>8645004.5</v>
      </c>
      <c r="G17" s="21"/>
      <c r="H17" s="41" t="s">
        <v>56</v>
      </c>
      <c r="I17" s="68">
        <v>3552299</v>
      </c>
      <c r="K17" s="18">
        <v>-4.9121452930691832E-2</v>
      </c>
      <c r="L17" s="18">
        <f t="shared" si="0"/>
        <v>0.1964682048419642</v>
      </c>
    </row>
    <row r="18" spans="1:12">
      <c r="A18" s="16" t="s">
        <v>57</v>
      </c>
      <c r="B18" s="30" t="s">
        <v>84</v>
      </c>
      <c r="C18" s="18">
        <f>I9/I19</f>
        <v>0.70429885101835521</v>
      </c>
      <c r="D18" s="19"/>
      <c r="E18" s="16" t="s">
        <v>58</v>
      </c>
      <c r="F18" s="68">
        <v>10016477</v>
      </c>
      <c r="G18" s="21"/>
      <c r="H18" s="22" t="s">
        <v>59</v>
      </c>
      <c r="I18" s="68">
        <v>7149082</v>
      </c>
      <c r="K18" s="18">
        <v>0.82572712952397953</v>
      </c>
      <c r="L18" s="18">
        <f t="shared" si="0"/>
        <v>-0.12142827850562432</v>
      </c>
    </row>
    <row r="19" spans="1:12">
      <c r="A19" s="16" t="s">
        <v>60</v>
      </c>
      <c r="B19" s="30" t="s">
        <v>85</v>
      </c>
      <c r="C19" s="18">
        <f>I11/I19</f>
        <v>0.73552495410586649</v>
      </c>
      <c r="D19" s="19"/>
      <c r="E19" s="16" t="s">
        <v>61</v>
      </c>
      <c r="F19" s="68">
        <v>165816</v>
      </c>
      <c r="G19" s="21"/>
      <c r="H19" s="22" t="s">
        <v>62</v>
      </c>
      <c r="I19" s="68">
        <v>1658164</v>
      </c>
      <c r="K19" s="18">
        <v>-0.32737533802446561</v>
      </c>
      <c r="L19" s="18">
        <f t="shared" si="0"/>
        <v>1.0629002921303321</v>
      </c>
    </row>
    <row r="20" spans="1:12">
      <c r="A20" s="16" t="s">
        <v>63</v>
      </c>
      <c r="B20" s="40" t="s">
        <v>5</v>
      </c>
      <c r="C20" s="18">
        <f>F15/F18</f>
        <v>9.5378844278282679E-2</v>
      </c>
      <c r="D20" s="19"/>
      <c r="E20" s="16" t="s">
        <v>64</v>
      </c>
      <c r="F20" s="68">
        <v>2031667</v>
      </c>
      <c r="G20" s="21"/>
      <c r="H20" s="22" t="s">
        <v>105</v>
      </c>
      <c r="I20" s="68">
        <v>8638356</v>
      </c>
      <c r="K20" s="18">
        <v>-3.2480406700189729E-2</v>
      </c>
      <c r="L20" s="18">
        <f t="shared" si="0"/>
        <v>0.12785925097847239</v>
      </c>
    </row>
    <row r="21" spans="1:12">
      <c r="A21" s="33" t="s">
        <v>65</v>
      </c>
      <c r="B21" s="17" t="s">
        <v>6</v>
      </c>
      <c r="C21" s="26">
        <f>F8/F19</f>
        <v>6.2558739807979933</v>
      </c>
      <c r="D21" s="27"/>
      <c r="E21" s="16" t="s">
        <v>66</v>
      </c>
      <c r="F21" s="20">
        <f>SUM(F22:F26)</f>
        <v>11143941</v>
      </c>
      <c r="G21" s="21"/>
      <c r="H21" s="22" t="s">
        <v>106</v>
      </c>
      <c r="I21" s="68">
        <v>8376527</v>
      </c>
      <c r="K21" s="26">
        <v>-2.3558643315482222</v>
      </c>
      <c r="L21" s="26">
        <f t="shared" si="0"/>
        <v>8.6117383123462155</v>
      </c>
    </row>
    <row r="22" spans="1:12">
      <c r="A22" s="16" t="s">
        <v>67</v>
      </c>
      <c r="B22" s="17" t="s">
        <v>137</v>
      </c>
      <c r="C22" s="18">
        <f>F20/3*4/F10</f>
        <v>0.37074599267063579</v>
      </c>
      <c r="D22" s="19"/>
      <c r="E22" s="35" t="s">
        <v>15</v>
      </c>
      <c r="F22" s="68">
        <v>2695934</v>
      </c>
      <c r="G22" s="21"/>
      <c r="H22" s="22" t="s">
        <v>68</v>
      </c>
      <c r="I22" s="68">
        <v>18965860</v>
      </c>
      <c r="K22" s="18">
        <v>0.28989685908247381</v>
      </c>
      <c r="L22" s="18">
        <f t="shared" si="0"/>
        <v>8.0849133588161981E-2</v>
      </c>
    </row>
    <row r="23" spans="1:12">
      <c r="A23" s="16" t="s">
        <v>69</v>
      </c>
      <c r="B23" s="17" t="s">
        <v>7</v>
      </c>
      <c r="C23" s="18">
        <f>F21/F27</f>
        <v>0.76284071227958949</v>
      </c>
      <c r="D23" s="19"/>
      <c r="E23" s="35" t="s">
        <v>16</v>
      </c>
      <c r="F23" s="68">
        <v>1847345</v>
      </c>
      <c r="G23" s="21"/>
      <c r="H23" s="22" t="s">
        <v>110</v>
      </c>
      <c r="I23" s="68">
        <f>(F7+I20)/2</f>
        <v>9076744.5</v>
      </c>
      <c r="K23" s="18">
        <v>0.64955719071380458</v>
      </c>
      <c r="L23" s="18">
        <f t="shared" si="0"/>
        <v>0.11328352156578492</v>
      </c>
    </row>
    <row r="24" spans="1:12">
      <c r="A24" s="16" t="s">
        <v>70</v>
      </c>
      <c r="B24" s="17" t="s">
        <v>86</v>
      </c>
      <c r="C24" s="18">
        <f>(F20-I24)/SUM(I3:I6)</f>
        <v>5.9013160141882251E-2</v>
      </c>
      <c r="D24" s="19"/>
      <c r="E24" s="35" t="s">
        <v>19</v>
      </c>
      <c r="F24" s="68">
        <v>1713676</v>
      </c>
      <c r="G24" s="21"/>
      <c r="H24" s="22" t="s">
        <v>71</v>
      </c>
      <c r="I24" s="20">
        <f>F42</f>
        <v>497449</v>
      </c>
      <c r="K24" s="18">
        <v>4.762271561960784E-2</v>
      </c>
      <c r="L24" s="18">
        <f t="shared" si="0"/>
        <v>1.1390444522274411E-2</v>
      </c>
    </row>
    <row r="25" spans="1:12">
      <c r="A25" s="72" t="s">
        <v>113</v>
      </c>
      <c r="B25" s="73" t="s">
        <v>114</v>
      </c>
      <c r="C25" s="26">
        <f>(F18-I7)/I9</f>
        <v>2.4058876064676502</v>
      </c>
      <c r="D25" s="27"/>
      <c r="E25" s="35" t="s">
        <v>74</v>
      </c>
      <c r="F25" s="68">
        <v>2855319</v>
      </c>
      <c r="G25" s="21"/>
      <c r="H25" s="22" t="s">
        <v>73</v>
      </c>
      <c r="I25" s="68">
        <v>1467472</v>
      </c>
      <c r="K25" s="26">
        <v>1.0677709939023106</v>
      </c>
      <c r="L25" s="26">
        <f>C26-K25</f>
        <v>8.1456850481611554E-3</v>
      </c>
    </row>
    <row r="26" spans="1:12">
      <c r="A26" s="16" t="s">
        <v>72</v>
      </c>
      <c r="B26" s="17" t="s">
        <v>8</v>
      </c>
      <c r="C26" s="26">
        <f>I9/(I9-I10)</f>
        <v>1.0759166789504717</v>
      </c>
      <c r="D26" s="27"/>
      <c r="E26" s="35" t="s">
        <v>125</v>
      </c>
      <c r="F26" s="68">
        <f>F20</f>
        <v>2031667</v>
      </c>
      <c r="G26" s="21"/>
      <c r="H26" s="22" t="s">
        <v>75</v>
      </c>
      <c r="I26" s="68">
        <v>0</v>
      </c>
      <c r="K26" s="42"/>
      <c r="L26" s="42"/>
    </row>
    <row r="27" spans="1:12">
      <c r="A27" s="16"/>
      <c r="B27" s="17"/>
      <c r="C27" s="43"/>
      <c r="D27" s="44"/>
      <c r="E27" s="33" t="s">
        <v>76</v>
      </c>
      <c r="F27" s="20">
        <f>SUM(F28:F42)</f>
        <v>14608477</v>
      </c>
      <c r="G27" s="21"/>
      <c r="H27" s="22" t="s">
        <v>77</v>
      </c>
      <c r="I27" s="69">
        <v>739823</v>
      </c>
      <c r="K27" s="43"/>
      <c r="L27" s="43"/>
    </row>
    <row r="28" spans="1:12">
      <c r="A28" s="16"/>
      <c r="B28" s="17"/>
      <c r="C28" s="43"/>
      <c r="D28" s="44"/>
      <c r="E28" s="35" t="s">
        <v>91</v>
      </c>
      <c r="F28" s="69">
        <v>1982520</v>
      </c>
      <c r="G28" s="45"/>
      <c r="H28" s="22" t="s">
        <v>78</v>
      </c>
      <c r="I28" s="69">
        <v>865532</v>
      </c>
      <c r="K28" s="43"/>
      <c r="L28" s="43"/>
    </row>
    <row r="29" spans="1:12">
      <c r="A29" s="16"/>
      <c r="B29" s="17"/>
      <c r="C29" s="43"/>
      <c r="D29" s="44"/>
      <c r="E29" s="35" t="s">
        <v>16</v>
      </c>
      <c r="F29" s="69">
        <v>2268581</v>
      </c>
      <c r="G29" s="21"/>
      <c r="H29" s="22" t="s">
        <v>79</v>
      </c>
      <c r="I29" s="69">
        <v>855911</v>
      </c>
      <c r="K29" s="43"/>
      <c r="L29" s="43"/>
    </row>
    <row r="30" spans="1:12">
      <c r="A30" s="16"/>
      <c r="B30" s="17"/>
      <c r="C30" s="43"/>
      <c r="D30" s="44"/>
      <c r="E30" s="35" t="s">
        <v>20</v>
      </c>
      <c r="F30" s="69">
        <v>2223192</v>
      </c>
      <c r="G30" s="21"/>
      <c r="H30" s="22" t="s">
        <v>80</v>
      </c>
      <c r="I30" s="69">
        <v>804633</v>
      </c>
      <c r="K30" s="43"/>
      <c r="L30" s="43"/>
    </row>
    <row r="31" spans="1:12" ht="15.75">
      <c r="A31" s="291" t="s">
        <v>9</v>
      </c>
      <c r="B31" s="292"/>
      <c r="C31" s="293"/>
      <c r="D31" s="46"/>
      <c r="E31" s="35" t="s">
        <v>89</v>
      </c>
      <c r="F31" s="69">
        <v>2449057</v>
      </c>
      <c r="G31" s="21"/>
      <c r="H31" s="74"/>
      <c r="I31" s="75"/>
      <c r="K31" s="66"/>
      <c r="L31" s="66"/>
    </row>
    <row r="32" spans="1:12">
      <c r="A32" s="48" t="s">
        <v>10</v>
      </c>
      <c r="B32" s="30"/>
      <c r="C32" s="49"/>
      <c r="D32" s="19"/>
      <c r="E32" s="35" t="s">
        <v>126</v>
      </c>
      <c r="F32" s="69">
        <f>I25+I26</f>
        <v>1467472</v>
      </c>
      <c r="G32" s="45"/>
      <c r="H32" s="74"/>
      <c r="I32" s="75"/>
      <c r="K32" s="49"/>
      <c r="L32" s="49"/>
    </row>
    <row r="33" spans="1:12">
      <c r="A33" s="50" t="s">
        <v>11</v>
      </c>
      <c r="B33" s="51"/>
      <c r="C33" s="49"/>
      <c r="D33" s="19"/>
      <c r="E33" s="35" t="s">
        <v>92</v>
      </c>
      <c r="F33" s="68">
        <v>161590</v>
      </c>
      <c r="G33" s="21"/>
      <c r="H33" s="74"/>
      <c r="I33" s="75"/>
      <c r="K33" s="49"/>
      <c r="L33" s="49"/>
    </row>
    <row r="34" spans="1:12">
      <c r="A34" s="52" t="s">
        <v>12</v>
      </c>
      <c r="B34" s="51"/>
      <c r="C34" s="49"/>
      <c r="D34" s="19"/>
      <c r="E34" s="35" t="s">
        <v>93</v>
      </c>
      <c r="F34" s="68">
        <v>698218</v>
      </c>
      <c r="G34" s="21"/>
      <c r="H34" s="41"/>
      <c r="I34" s="47"/>
      <c r="K34" s="49"/>
      <c r="L34" s="49"/>
    </row>
    <row r="35" spans="1:12">
      <c r="A35" s="53" t="s">
        <v>13</v>
      </c>
      <c r="B35" s="30"/>
      <c r="C35" s="49"/>
      <c r="D35" s="19"/>
      <c r="E35" s="35" t="s">
        <v>19</v>
      </c>
      <c r="F35" s="68">
        <v>205576</v>
      </c>
      <c r="G35" s="21"/>
      <c r="H35" s="41"/>
      <c r="I35" s="47"/>
      <c r="K35" s="49"/>
      <c r="L35" s="49"/>
    </row>
    <row r="36" spans="1:12">
      <c r="A36" s="16"/>
      <c r="B36" s="30"/>
      <c r="C36" s="49"/>
      <c r="D36" s="19"/>
      <c r="E36" s="35" t="s">
        <v>89</v>
      </c>
      <c r="F36" s="68">
        <v>99630</v>
      </c>
      <c r="G36" s="21"/>
      <c r="H36" s="41" t="s">
        <v>81</v>
      </c>
      <c r="I36" s="47">
        <f>SUM(I32:I35)</f>
        <v>0</v>
      </c>
      <c r="K36" s="49"/>
      <c r="L36" s="49"/>
    </row>
    <row r="37" spans="1:12">
      <c r="A37" s="16"/>
      <c r="B37" s="30"/>
      <c r="C37" s="49"/>
      <c r="D37" s="19"/>
      <c r="E37" s="35" t="s">
        <v>127</v>
      </c>
      <c r="F37" s="68">
        <v>499069</v>
      </c>
      <c r="G37" s="21"/>
      <c r="H37" s="22"/>
      <c r="I37" s="47"/>
      <c r="K37" s="49"/>
      <c r="L37" s="49"/>
    </row>
    <row r="38" spans="1:12">
      <c r="A38" s="16"/>
      <c r="B38" s="30"/>
      <c r="C38" s="49"/>
      <c r="D38" s="19"/>
      <c r="E38" s="35" t="s">
        <v>94</v>
      </c>
      <c r="F38" s="68">
        <v>596939</v>
      </c>
      <c r="G38" s="54"/>
      <c r="H38" s="22" t="s">
        <v>82</v>
      </c>
      <c r="I38" s="69">
        <v>181807</v>
      </c>
      <c r="K38" s="49"/>
      <c r="L38" s="49"/>
    </row>
    <row r="39" spans="1:12">
      <c r="A39" s="16"/>
      <c r="B39" s="30"/>
      <c r="C39" s="49"/>
      <c r="D39" s="19"/>
      <c r="E39" s="35" t="s">
        <v>93</v>
      </c>
      <c r="F39" s="71">
        <v>630102</v>
      </c>
      <c r="G39" s="45"/>
      <c r="H39" s="22" t="s">
        <v>120</v>
      </c>
      <c r="I39" s="69">
        <v>1520303</v>
      </c>
      <c r="K39" s="49"/>
      <c r="L39" s="49"/>
    </row>
    <row r="40" spans="1:12">
      <c r="A40" s="16"/>
      <c r="B40" s="30"/>
      <c r="C40" s="49"/>
      <c r="D40" s="19"/>
      <c r="E40" s="35" t="s">
        <v>19</v>
      </c>
      <c r="F40" s="69">
        <v>663266</v>
      </c>
      <c r="G40" s="45"/>
      <c r="H40" s="22" t="s">
        <v>17</v>
      </c>
      <c r="I40" s="69">
        <v>16380</v>
      </c>
      <c r="K40" s="49"/>
      <c r="L40" s="49"/>
    </row>
    <row r="41" spans="1:12">
      <c r="A41" s="16"/>
      <c r="B41" s="30"/>
      <c r="C41" s="49"/>
      <c r="D41" s="19"/>
      <c r="E41" s="35" t="s">
        <v>89</v>
      </c>
      <c r="F41" s="69">
        <v>165816</v>
      </c>
      <c r="G41" s="55"/>
      <c r="H41" s="56"/>
      <c r="I41" s="57"/>
      <c r="K41" s="49"/>
      <c r="L41" s="49"/>
    </row>
    <row r="42" spans="1:12">
      <c r="A42" s="58"/>
      <c r="B42" s="59"/>
      <c r="C42" s="60"/>
      <c r="D42" s="61"/>
      <c r="E42" s="59" t="s">
        <v>125</v>
      </c>
      <c r="F42" s="70">
        <v>497449</v>
      </c>
      <c r="G42" s="62"/>
      <c r="K42" s="60"/>
      <c r="L42" s="60"/>
    </row>
    <row r="43" spans="1:12">
      <c r="F43" s="5"/>
      <c r="G43" s="5"/>
      <c r="H43" s="3" t="s">
        <v>115</v>
      </c>
    </row>
    <row r="44" spans="1:12">
      <c r="E44" s="63"/>
      <c r="F44" s="5"/>
      <c r="G44" s="5"/>
      <c r="H44" s="3" t="s">
        <v>116</v>
      </c>
      <c r="I44" s="5">
        <v>7149082</v>
      </c>
    </row>
    <row r="45" spans="1:12">
      <c r="E45" s="63"/>
      <c r="F45" s="5"/>
      <c r="G45" s="5"/>
      <c r="H45" s="3" t="s">
        <v>117</v>
      </c>
      <c r="I45" s="5">
        <v>1594379</v>
      </c>
    </row>
    <row r="46" spans="1:12">
      <c r="E46" s="63"/>
      <c r="F46" s="5"/>
      <c r="G46" s="5"/>
      <c r="H46" s="3" t="s">
        <v>118</v>
      </c>
      <c r="I46" s="5">
        <f>I39+I40</f>
        <v>1536683</v>
      </c>
    </row>
    <row r="47" spans="1:12" ht="15" thickBot="1">
      <c r="E47" s="63"/>
      <c r="F47" s="5"/>
      <c r="G47" s="5"/>
      <c r="H47" s="3" t="s">
        <v>119</v>
      </c>
      <c r="I47" s="76">
        <f>I44+I45-I46</f>
        <v>7206778</v>
      </c>
    </row>
    <row r="48" spans="1:12" ht="15" thickTop="1">
      <c r="E48" s="63"/>
      <c r="F48" s="5"/>
      <c r="G48" s="5"/>
    </row>
    <row r="59" spans="2:2">
      <c r="B59" s="64"/>
    </row>
    <row r="60" spans="2:2">
      <c r="B60" s="65"/>
    </row>
    <row r="61" spans="2:2">
      <c r="B61" s="64"/>
    </row>
  </sheetData>
  <mergeCells count="1">
    <mergeCell ref="A31:C31"/>
  </mergeCells>
  <phoneticPr fontId="3" type="noConversion"/>
  <printOptions horizontalCentered="1"/>
  <pageMargins left="0.39370078740157483" right="0" top="1.1811023622047245" bottom="0.47244094488188981" header="0.59055118110236227" footer="0.15748031496062992"/>
  <pageSetup paperSize="9" scale="78" orientation="landscape" r:id="rId1"/>
  <headerFooter alignWithMargins="0">
    <oddHeader>&amp;L
帝寶101Q2財務比率(合併)&amp;RPreparer: DY 2012/8/17
Reviewer: KAY 2012/8/20 CH 2012/8/20 AMMY 2012/8/20
2320-2: &amp;P/&amp;N</oddHeader>
    <oddFooter>&amp;L帝寶工業股份有限公司 
Period End: 2012/6/30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L61"/>
  <sheetViews>
    <sheetView topLeftCell="C1" zoomScale="120" zoomScaleNormal="120" zoomScaleSheetLayoutView="100" workbookViewId="0">
      <pane ySplit="2" topLeftCell="A3" activePane="bottomLeft" state="frozen"/>
      <selection activeCell="A30" sqref="A30"/>
      <selection pane="bottomLeft" activeCell="A30" sqref="A30"/>
    </sheetView>
  </sheetViews>
  <sheetFormatPr defaultColWidth="31.28515625" defaultRowHeight="14.25"/>
  <cols>
    <col min="1" max="1" width="34" style="3" customWidth="1"/>
    <col min="2" max="2" width="23.140625" style="1" bestFit="1" customWidth="1"/>
    <col min="3" max="3" width="8.7109375" style="2" bestFit="1" customWidth="1"/>
    <col min="4" max="4" width="2.5703125" style="2" customWidth="1"/>
    <col min="5" max="5" width="32.28515625" style="3" customWidth="1"/>
    <col min="6" max="6" width="13" style="4" bestFit="1" customWidth="1"/>
    <col min="7" max="7" width="1" style="4" customWidth="1"/>
    <col min="8" max="8" width="36.85546875" style="3" customWidth="1"/>
    <col min="9" max="9" width="13" style="5" bestFit="1" customWidth="1"/>
    <col min="10" max="10" width="31.28515625" style="6"/>
    <col min="11" max="12" width="8.7109375" style="2" bestFit="1" customWidth="1"/>
    <col min="13" max="16384" width="31.28515625" style="3"/>
  </cols>
  <sheetData>
    <row r="1" spans="1:12">
      <c r="A1" s="1" t="s">
        <v>21</v>
      </c>
    </row>
    <row r="2" spans="1:12">
      <c r="A2" s="7" t="s">
        <v>128</v>
      </c>
      <c r="I2" s="8" t="s">
        <v>0</v>
      </c>
    </row>
    <row r="3" spans="1:12">
      <c r="A3" s="9" t="s">
        <v>22</v>
      </c>
      <c r="B3" s="10" t="s">
        <v>1</v>
      </c>
      <c r="C3" s="11">
        <f>F3/F4</f>
        <v>0.57834658830919028</v>
      </c>
      <c r="D3" s="12"/>
      <c r="E3" s="13" t="s">
        <v>23</v>
      </c>
      <c r="F3" s="77">
        <v>12225875</v>
      </c>
      <c r="G3" s="14"/>
      <c r="H3" s="15" t="s">
        <v>24</v>
      </c>
      <c r="I3" s="77">
        <f>F7+12207803</f>
        <v>21722936</v>
      </c>
      <c r="K3" s="11">
        <v>0.59016196378942232</v>
      </c>
      <c r="L3" s="11">
        <f>C3-K3</f>
        <v>-1.1815375480232038E-2</v>
      </c>
    </row>
    <row r="4" spans="1:12">
      <c r="A4" s="16" t="s">
        <v>102</v>
      </c>
      <c r="B4" s="17" t="s">
        <v>100</v>
      </c>
      <c r="C4" s="18">
        <f>SUM(F5:F6)/F7</f>
        <v>1.4537648606698403</v>
      </c>
      <c r="D4" s="19"/>
      <c r="E4" s="16" t="s">
        <v>25</v>
      </c>
      <c r="F4" s="28">
        <v>21139357</v>
      </c>
      <c r="G4" s="21"/>
      <c r="H4" s="22" t="s">
        <v>26</v>
      </c>
      <c r="I4" s="28">
        <v>0</v>
      </c>
      <c r="K4" s="18">
        <v>1.2489724628634415</v>
      </c>
      <c r="L4" s="18">
        <f t="shared" ref="L4:L24" si="0">C4-K4</f>
        <v>0.2047923978063988</v>
      </c>
    </row>
    <row r="5" spans="1:12">
      <c r="A5" s="23" t="s">
        <v>27</v>
      </c>
      <c r="B5" s="24" t="s">
        <v>2</v>
      </c>
      <c r="C5" s="25">
        <f>F9/F10</f>
        <v>1.3714898680924525</v>
      </c>
      <c r="D5" s="19"/>
      <c r="E5" s="16" t="s">
        <v>104</v>
      </c>
      <c r="F5" s="28">
        <v>8913482</v>
      </c>
      <c r="G5" s="21"/>
      <c r="H5" s="22" t="s">
        <v>112</v>
      </c>
      <c r="I5" s="28">
        <f>12662658-9515133-42673</f>
        <v>3104852</v>
      </c>
      <c r="K5" s="25">
        <v>1.2765880098049001</v>
      </c>
      <c r="L5" s="25">
        <f t="shared" si="0"/>
        <v>9.4901858287552487E-2</v>
      </c>
    </row>
    <row r="6" spans="1:12">
      <c r="A6" s="16" t="s">
        <v>28</v>
      </c>
      <c r="B6" s="17" t="s">
        <v>14</v>
      </c>
      <c r="C6" s="18">
        <f>(F9-F11-I38)/F10</f>
        <v>1.0158385152160188</v>
      </c>
      <c r="D6" s="19"/>
      <c r="E6" s="16" t="s">
        <v>101</v>
      </c>
      <c r="F6" s="28">
        <v>4919284</v>
      </c>
      <c r="G6" s="21"/>
      <c r="H6" s="22" t="s">
        <v>29</v>
      </c>
      <c r="I6" s="28">
        <f>F9-F10</f>
        <v>1662315</v>
      </c>
      <c r="K6" s="18">
        <v>0.7876312098969267</v>
      </c>
      <c r="L6" s="18">
        <f t="shared" si="0"/>
        <v>0.22820730531909206</v>
      </c>
    </row>
    <row r="7" spans="1:12">
      <c r="A7" s="16" t="s">
        <v>30</v>
      </c>
      <c r="B7" s="17" t="s">
        <v>3</v>
      </c>
      <c r="C7" s="26">
        <f>F13/F14</f>
        <v>15.800686868196546</v>
      </c>
      <c r="D7" s="27"/>
      <c r="E7" s="16" t="s">
        <v>109</v>
      </c>
      <c r="F7" s="28">
        <v>9515133</v>
      </c>
      <c r="G7" s="21"/>
      <c r="H7" s="22" t="s">
        <v>31</v>
      </c>
      <c r="I7" s="28">
        <f>I47</f>
        <v>7206778</v>
      </c>
      <c r="K7" s="26">
        <v>-5.2465996179604613</v>
      </c>
      <c r="L7" s="26">
        <f t="shared" si="0"/>
        <v>21.047286486157006</v>
      </c>
    </row>
    <row r="8" spans="1:12">
      <c r="A8" s="23" t="s">
        <v>32</v>
      </c>
      <c r="B8" s="24" t="s">
        <v>18</v>
      </c>
      <c r="C8" s="29">
        <f>(F13+I39+I40)/F14</f>
        <v>34.449073456063495</v>
      </c>
      <c r="D8" s="27"/>
      <c r="E8" s="16" t="s">
        <v>121</v>
      </c>
      <c r="F8" s="28">
        <v>1037324</v>
      </c>
      <c r="G8" s="21"/>
      <c r="H8" s="22"/>
      <c r="I8" s="28"/>
      <c r="K8" s="29">
        <v>15.433143080711606</v>
      </c>
      <c r="L8" s="29">
        <f t="shared" si="0"/>
        <v>19.015930375351889</v>
      </c>
    </row>
    <row r="9" spans="1:12">
      <c r="A9" s="16" t="s">
        <v>33</v>
      </c>
      <c r="B9" s="30" t="s">
        <v>130</v>
      </c>
      <c r="C9" s="31">
        <f>F18/3*4/(SUM(I12:I15)/2)</f>
        <v>4.4631530590090875</v>
      </c>
      <c r="D9" s="32"/>
      <c r="E9" s="16" t="s">
        <v>34</v>
      </c>
      <c r="F9" s="82">
        <v>6137040</v>
      </c>
      <c r="G9" s="21"/>
      <c r="H9" s="22" t="s">
        <v>35</v>
      </c>
      <c r="I9" s="28">
        <v>1167843</v>
      </c>
      <c r="K9" s="31">
        <v>4.6767890640311336</v>
      </c>
      <c r="L9" s="31">
        <f>C9-K9</f>
        <v>-0.21363600502204605</v>
      </c>
    </row>
    <row r="10" spans="1:12">
      <c r="A10" s="33" t="s">
        <v>36</v>
      </c>
      <c r="B10" s="17" t="s">
        <v>129</v>
      </c>
      <c r="C10" s="26">
        <f>365/C9</f>
        <v>81.780748984897585</v>
      </c>
      <c r="D10" s="34"/>
      <c r="E10" s="35" t="s">
        <v>37</v>
      </c>
      <c r="F10" s="82">
        <v>4474725</v>
      </c>
      <c r="G10" s="21"/>
      <c r="H10" s="22" t="s">
        <v>38</v>
      </c>
      <c r="I10" s="28">
        <f>F14</f>
        <v>82403</v>
      </c>
      <c r="K10" s="26">
        <v>78.044999464951317</v>
      </c>
      <c r="L10" s="26">
        <f t="shared" si="0"/>
        <v>3.7357495199462676</v>
      </c>
    </row>
    <row r="11" spans="1:12">
      <c r="A11" s="33" t="s">
        <v>39</v>
      </c>
      <c r="B11" s="30" t="s">
        <v>131</v>
      </c>
      <c r="C11" s="26">
        <f>I18/3*4/(SUM(I16+I17)/2)</f>
        <v>2.8797895993214908</v>
      </c>
      <c r="D11" s="27"/>
      <c r="E11" s="16" t="s">
        <v>40</v>
      </c>
      <c r="F11" s="82">
        <v>1522740</v>
      </c>
      <c r="G11" s="21"/>
      <c r="H11" s="22" t="s">
        <v>41</v>
      </c>
      <c r="I11" s="28">
        <f>F13-F14</f>
        <v>1219621</v>
      </c>
      <c r="K11" s="26">
        <v>2.9937714403313924</v>
      </c>
      <c r="L11" s="26">
        <f t="shared" si="0"/>
        <v>-0.11398184100990161</v>
      </c>
    </row>
    <row r="12" spans="1:12">
      <c r="A12" s="16" t="s">
        <v>42</v>
      </c>
      <c r="B12" s="36" t="s">
        <v>132</v>
      </c>
      <c r="C12" s="37">
        <f>I18/3*4/(SUM(I27:I30)/2)</f>
        <v>5.837357085037433</v>
      </c>
      <c r="D12" s="38"/>
      <c r="E12" s="16" t="s">
        <v>88</v>
      </c>
      <c r="F12" s="28">
        <v>192295</v>
      </c>
      <c r="G12" s="21"/>
      <c r="H12" s="22" t="s">
        <v>43</v>
      </c>
      <c r="I12" s="28">
        <v>258024</v>
      </c>
      <c r="K12" s="37">
        <v>5.7242227594407815</v>
      </c>
      <c r="L12" s="37">
        <f t="shared" si="0"/>
        <v>0.11313432559665149</v>
      </c>
    </row>
    <row r="13" spans="1:12">
      <c r="A13" s="16" t="s">
        <v>44</v>
      </c>
      <c r="B13" s="30" t="s">
        <v>4</v>
      </c>
      <c r="C13" s="26">
        <f>365/C11</f>
        <v>126.74537059443436</v>
      </c>
      <c r="D13" s="34"/>
      <c r="E13" s="33" t="s">
        <v>87</v>
      </c>
      <c r="F13" s="28">
        <f>1219621+82403</f>
        <v>1302024</v>
      </c>
      <c r="G13" s="21"/>
      <c r="H13" s="39" t="s">
        <v>45</v>
      </c>
      <c r="I13" s="28">
        <v>2644611</v>
      </c>
      <c r="K13" s="26">
        <v>121.91979490578503</v>
      </c>
      <c r="L13" s="26">
        <f t="shared" si="0"/>
        <v>4.8255756886493373</v>
      </c>
    </row>
    <row r="14" spans="1:12">
      <c r="A14" s="16" t="s">
        <v>103</v>
      </c>
      <c r="B14" s="40" t="s">
        <v>133</v>
      </c>
      <c r="C14" s="26">
        <f>F18/3*4/I23</f>
        <v>1.4713758514042856</v>
      </c>
      <c r="D14" s="27"/>
      <c r="E14" s="33" t="s">
        <v>46</v>
      </c>
      <c r="F14" s="28">
        <v>82403</v>
      </c>
      <c r="G14" s="21"/>
      <c r="H14" s="39" t="s">
        <v>47</v>
      </c>
      <c r="I14" s="28">
        <v>317796</v>
      </c>
      <c r="K14" s="26">
        <v>1.2150060780898926</v>
      </c>
      <c r="L14" s="26">
        <f t="shared" si="0"/>
        <v>0.25636977331439303</v>
      </c>
    </row>
    <row r="15" spans="1:12">
      <c r="A15" s="16" t="s">
        <v>48</v>
      </c>
      <c r="B15" s="17" t="s">
        <v>134</v>
      </c>
      <c r="C15" s="26">
        <f>F18/3*4/F16</f>
        <v>0.66601323546842628</v>
      </c>
      <c r="D15" s="27"/>
      <c r="E15" s="16" t="s">
        <v>49</v>
      </c>
      <c r="F15" s="28">
        <v>955360</v>
      </c>
      <c r="G15" s="21"/>
      <c r="H15" s="39" t="s">
        <v>50</v>
      </c>
      <c r="I15" s="28">
        <v>2764263</v>
      </c>
      <c r="K15" s="26">
        <v>0.65745562973445326</v>
      </c>
      <c r="L15" s="26">
        <f t="shared" si="0"/>
        <v>8.5576057339730172E-3</v>
      </c>
    </row>
    <row r="16" spans="1:12">
      <c r="A16" s="33" t="s">
        <v>51</v>
      </c>
      <c r="B16" s="17" t="s">
        <v>135</v>
      </c>
      <c r="C16" s="18">
        <f>(F15+I10*0.83)/3*4/F16</f>
        <v>6.8071243033875947E-2</v>
      </c>
      <c r="D16" s="19"/>
      <c r="E16" s="16" t="s">
        <v>52</v>
      </c>
      <c r="F16" s="28">
        <f>(F4+I22)/2</f>
        <v>20052608.5</v>
      </c>
      <c r="G16" s="21"/>
      <c r="H16" s="22" t="s">
        <v>53</v>
      </c>
      <c r="I16" s="28">
        <v>3067705</v>
      </c>
      <c r="K16" s="18">
        <v>-1.8047453480236827E-2</v>
      </c>
      <c r="L16" s="18">
        <f t="shared" si="0"/>
        <v>8.6118696514112775E-2</v>
      </c>
    </row>
    <row r="17" spans="1:12">
      <c r="A17" s="16" t="s">
        <v>54</v>
      </c>
      <c r="B17" s="17" t="s">
        <v>136</v>
      </c>
      <c r="C17" s="18">
        <f>F15/3*4/F17</f>
        <v>0.14734675191127236</v>
      </c>
      <c r="D17" s="19"/>
      <c r="E17" s="16" t="s">
        <v>55</v>
      </c>
      <c r="F17" s="28">
        <f>(F5+I21)/2</f>
        <v>8645004.5</v>
      </c>
      <c r="G17" s="21"/>
      <c r="H17" s="41" t="s">
        <v>56</v>
      </c>
      <c r="I17" s="28">
        <v>3552299</v>
      </c>
      <c r="K17" s="18">
        <v>-4.9121452930691832E-2</v>
      </c>
      <c r="L17" s="18">
        <f t="shared" si="0"/>
        <v>0.1964682048419642</v>
      </c>
    </row>
    <row r="18" spans="1:12">
      <c r="A18" s="16" t="s">
        <v>57</v>
      </c>
      <c r="B18" s="30" t="s">
        <v>84</v>
      </c>
      <c r="C18" s="18">
        <f>I9/I19</f>
        <v>0.70429885101835521</v>
      </c>
      <c r="D18" s="19"/>
      <c r="E18" s="16" t="s">
        <v>58</v>
      </c>
      <c r="F18" s="28">
        <v>10016477</v>
      </c>
      <c r="G18" s="21"/>
      <c r="H18" s="22" t="s">
        <v>59</v>
      </c>
      <c r="I18" s="28">
        <v>7149082</v>
      </c>
      <c r="K18" s="18">
        <v>0.82572712952397953</v>
      </c>
      <c r="L18" s="18">
        <f t="shared" si="0"/>
        <v>-0.12142827850562432</v>
      </c>
    </row>
    <row r="19" spans="1:12">
      <c r="A19" s="16" t="s">
        <v>60</v>
      </c>
      <c r="B19" s="30" t="s">
        <v>85</v>
      </c>
      <c r="C19" s="18">
        <f>I11/I19</f>
        <v>0.73552495410586649</v>
      </c>
      <c r="D19" s="19"/>
      <c r="E19" s="16" t="s">
        <v>61</v>
      </c>
      <c r="F19" s="28">
        <v>165816</v>
      </c>
      <c r="G19" s="21"/>
      <c r="H19" s="22" t="s">
        <v>62</v>
      </c>
      <c r="I19" s="28">
        <v>1658164</v>
      </c>
      <c r="K19" s="18">
        <v>-0.32737533802446561</v>
      </c>
      <c r="L19" s="18">
        <f t="shared" si="0"/>
        <v>1.0629002921303321</v>
      </c>
    </row>
    <row r="20" spans="1:12">
      <c r="A20" s="16" t="s">
        <v>63</v>
      </c>
      <c r="B20" s="40" t="s">
        <v>5</v>
      </c>
      <c r="C20" s="18">
        <f>F15/F18</f>
        <v>9.5378844278282679E-2</v>
      </c>
      <c r="D20" s="19"/>
      <c r="E20" s="16" t="s">
        <v>64</v>
      </c>
      <c r="F20" s="28">
        <v>2031667</v>
      </c>
      <c r="G20" s="21"/>
      <c r="H20" s="22" t="s">
        <v>105</v>
      </c>
      <c r="I20" s="28">
        <v>8638356</v>
      </c>
      <c r="K20" s="18">
        <v>-3.2480406700189729E-2</v>
      </c>
      <c r="L20" s="18">
        <f t="shared" si="0"/>
        <v>0.12785925097847239</v>
      </c>
    </row>
    <row r="21" spans="1:12">
      <c r="A21" s="33" t="s">
        <v>65</v>
      </c>
      <c r="B21" s="17" t="s">
        <v>6</v>
      </c>
      <c r="C21" s="26">
        <f>F8/F19</f>
        <v>6.2558739807979933</v>
      </c>
      <c r="D21" s="27"/>
      <c r="E21" s="16" t="s">
        <v>66</v>
      </c>
      <c r="F21" s="28">
        <f>SUM(F22:F26)</f>
        <v>11143941</v>
      </c>
      <c r="G21" s="21"/>
      <c r="H21" s="22" t="s">
        <v>106</v>
      </c>
      <c r="I21" s="28">
        <v>8376527</v>
      </c>
      <c r="K21" s="26">
        <v>-2.3558643315482222</v>
      </c>
      <c r="L21" s="26">
        <f t="shared" si="0"/>
        <v>8.6117383123462155</v>
      </c>
    </row>
    <row r="22" spans="1:12">
      <c r="A22" s="16" t="s">
        <v>67</v>
      </c>
      <c r="B22" s="17" t="s">
        <v>137</v>
      </c>
      <c r="C22" s="18">
        <f>F20/3*4/F10</f>
        <v>0.60537560036277838</v>
      </c>
      <c r="D22" s="19"/>
      <c r="E22" s="35" t="s">
        <v>15</v>
      </c>
      <c r="F22" s="28">
        <v>2695934</v>
      </c>
      <c r="G22" s="21"/>
      <c r="H22" s="22" t="s">
        <v>68</v>
      </c>
      <c r="I22" s="28">
        <v>18965860</v>
      </c>
      <c r="K22" s="18">
        <v>0.28989685908247381</v>
      </c>
      <c r="L22" s="18">
        <f t="shared" si="0"/>
        <v>0.31547874128030456</v>
      </c>
    </row>
    <row r="23" spans="1:12">
      <c r="A23" s="16" t="s">
        <v>69</v>
      </c>
      <c r="B23" s="17" t="s">
        <v>7</v>
      </c>
      <c r="C23" s="18">
        <f>F21/F27</f>
        <v>0.76284071227958949</v>
      </c>
      <c r="D23" s="19"/>
      <c r="E23" s="35" t="s">
        <v>16</v>
      </c>
      <c r="F23" s="28">
        <v>1847345</v>
      </c>
      <c r="G23" s="21"/>
      <c r="H23" s="22" t="s">
        <v>110</v>
      </c>
      <c r="I23" s="28">
        <f>(F7+I20)/2</f>
        <v>9076744.5</v>
      </c>
      <c r="K23" s="18">
        <v>0.64955719071380458</v>
      </c>
      <c r="L23" s="18">
        <f t="shared" si="0"/>
        <v>0.11328352156578492</v>
      </c>
    </row>
    <row r="24" spans="1:12">
      <c r="A24" s="16" t="s">
        <v>70</v>
      </c>
      <c r="B24" s="17" t="s">
        <v>86</v>
      </c>
      <c r="C24" s="18">
        <f>(F20-I24)/SUM(I3:I6)</f>
        <v>5.7916649097211892E-2</v>
      </c>
      <c r="D24" s="19"/>
      <c r="E24" s="35" t="s">
        <v>19</v>
      </c>
      <c r="F24" s="28">
        <v>1713676</v>
      </c>
      <c r="G24" s="21"/>
      <c r="H24" s="22" t="s">
        <v>71</v>
      </c>
      <c r="I24" s="28">
        <f>F42</f>
        <v>497449</v>
      </c>
      <c r="K24" s="18">
        <v>4.762271561960784E-2</v>
      </c>
      <c r="L24" s="18">
        <f t="shared" si="0"/>
        <v>1.0293933477604052E-2</v>
      </c>
    </row>
    <row r="25" spans="1:12">
      <c r="A25" s="72" t="s">
        <v>113</v>
      </c>
      <c r="B25" s="73" t="s">
        <v>114</v>
      </c>
      <c r="C25" s="26">
        <f>(F18-I7)/I9</f>
        <v>2.4058876064676502</v>
      </c>
      <c r="D25" s="27"/>
      <c r="E25" s="35" t="s">
        <v>74</v>
      </c>
      <c r="F25" s="28">
        <v>2855319</v>
      </c>
      <c r="G25" s="21"/>
      <c r="H25" s="22" t="s">
        <v>73</v>
      </c>
      <c r="I25" s="28">
        <v>1467472</v>
      </c>
      <c r="K25" s="26">
        <v>1.0677709939023106</v>
      </c>
      <c r="L25" s="26">
        <f>C26-K25</f>
        <v>8.1456850481611554E-3</v>
      </c>
    </row>
    <row r="26" spans="1:12">
      <c r="A26" s="16" t="s">
        <v>72</v>
      </c>
      <c r="B26" s="17" t="s">
        <v>8</v>
      </c>
      <c r="C26" s="26">
        <f>I9/(I9-I10)</f>
        <v>1.0759166789504717</v>
      </c>
      <c r="D26" s="27"/>
      <c r="E26" s="35" t="s">
        <v>125</v>
      </c>
      <c r="F26" s="28">
        <f>F20</f>
        <v>2031667</v>
      </c>
      <c r="G26" s="21"/>
      <c r="H26" s="22" t="s">
        <v>75</v>
      </c>
      <c r="I26" s="28">
        <v>0</v>
      </c>
      <c r="K26" s="42"/>
      <c r="L26" s="42"/>
    </row>
    <row r="27" spans="1:12">
      <c r="A27" s="16"/>
      <c r="B27" s="17"/>
      <c r="C27" s="43"/>
      <c r="D27" s="44"/>
      <c r="E27" s="33" t="s">
        <v>76</v>
      </c>
      <c r="F27" s="28">
        <f>SUM(F28:F42)</f>
        <v>14608477</v>
      </c>
      <c r="G27" s="21"/>
      <c r="H27" s="22" t="s">
        <v>77</v>
      </c>
      <c r="I27" s="47">
        <v>739823</v>
      </c>
      <c r="K27" s="43"/>
      <c r="L27" s="43"/>
    </row>
    <row r="28" spans="1:12">
      <c r="A28" s="16"/>
      <c r="B28" s="17"/>
      <c r="C28" s="43"/>
      <c r="D28" s="44"/>
      <c r="E28" s="35" t="s">
        <v>91</v>
      </c>
      <c r="F28" s="47">
        <v>1982520</v>
      </c>
      <c r="G28" s="45"/>
      <c r="H28" s="22" t="s">
        <v>78</v>
      </c>
      <c r="I28" s="47">
        <v>865532</v>
      </c>
      <c r="K28" s="43"/>
      <c r="L28" s="43"/>
    </row>
    <row r="29" spans="1:12">
      <c r="A29" s="16"/>
      <c r="B29" s="17"/>
      <c r="C29" s="43"/>
      <c r="D29" s="44"/>
      <c r="E29" s="35" t="s">
        <v>16</v>
      </c>
      <c r="F29" s="47">
        <v>2268581</v>
      </c>
      <c r="G29" s="21"/>
      <c r="H29" s="22" t="s">
        <v>79</v>
      </c>
      <c r="I29" s="47">
        <v>855911</v>
      </c>
      <c r="K29" s="43"/>
      <c r="L29" s="43"/>
    </row>
    <row r="30" spans="1:12">
      <c r="A30" s="16"/>
      <c r="B30" s="17"/>
      <c r="C30" s="43"/>
      <c r="D30" s="44"/>
      <c r="E30" s="35" t="s">
        <v>20</v>
      </c>
      <c r="F30" s="47">
        <v>2223192</v>
      </c>
      <c r="G30" s="21"/>
      <c r="H30" s="22" t="s">
        <v>80</v>
      </c>
      <c r="I30" s="47">
        <v>804633</v>
      </c>
      <c r="K30" s="43"/>
      <c r="L30" s="43"/>
    </row>
    <row r="31" spans="1:12" ht="15.75">
      <c r="A31" s="291" t="s">
        <v>9</v>
      </c>
      <c r="B31" s="292"/>
      <c r="C31" s="293"/>
      <c r="D31" s="46"/>
      <c r="E31" s="35" t="s">
        <v>89</v>
      </c>
      <c r="F31" s="47">
        <v>2449057</v>
      </c>
      <c r="G31" s="21"/>
      <c r="H31" s="74"/>
      <c r="I31" s="78"/>
      <c r="K31" s="66"/>
      <c r="L31" s="66"/>
    </row>
    <row r="32" spans="1:12">
      <c r="A32" s="48" t="s">
        <v>10</v>
      </c>
      <c r="B32" s="30"/>
      <c r="C32" s="49"/>
      <c r="D32" s="19"/>
      <c r="E32" s="35" t="s">
        <v>126</v>
      </c>
      <c r="F32" s="47">
        <f>I25+I26</f>
        <v>1467472</v>
      </c>
      <c r="G32" s="45"/>
      <c r="H32" s="74"/>
      <c r="I32" s="78"/>
      <c r="K32" s="49"/>
      <c r="L32" s="49"/>
    </row>
    <row r="33" spans="1:12">
      <c r="A33" s="50" t="s">
        <v>11</v>
      </c>
      <c r="B33" s="51"/>
      <c r="C33" s="49"/>
      <c r="D33" s="19"/>
      <c r="E33" s="35" t="s">
        <v>92</v>
      </c>
      <c r="F33" s="28">
        <v>161590</v>
      </c>
      <c r="G33" s="21"/>
      <c r="H33" s="74"/>
      <c r="I33" s="78"/>
      <c r="K33" s="49"/>
      <c r="L33" s="49"/>
    </row>
    <row r="34" spans="1:12">
      <c r="A34" s="52" t="s">
        <v>12</v>
      </c>
      <c r="B34" s="51"/>
      <c r="C34" s="49"/>
      <c r="D34" s="19"/>
      <c r="E34" s="35" t="s">
        <v>93</v>
      </c>
      <c r="F34" s="28">
        <v>698218</v>
      </c>
      <c r="G34" s="21"/>
      <c r="H34" s="41"/>
      <c r="I34" s="47"/>
      <c r="K34" s="49"/>
      <c r="L34" s="49"/>
    </row>
    <row r="35" spans="1:12">
      <c r="A35" s="53" t="s">
        <v>13</v>
      </c>
      <c r="B35" s="30"/>
      <c r="C35" s="49"/>
      <c r="D35" s="19"/>
      <c r="E35" s="35" t="s">
        <v>19</v>
      </c>
      <c r="F35" s="28">
        <v>205576</v>
      </c>
      <c r="G35" s="21"/>
      <c r="H35" s="41"/>
      <c r="I35" s="47"/>
      <c r="K35" s="49"/>
      <c r="L35" s="49"/>
    </row>
    <row r="36" spans="1:12">
      <c r="A36" s="16"/>
      <c r="B36" s="30"/>
      <c r="C36" s="49"/>
      <c r="D36" s="19"/>
      <c r="E36" s="35" t="s">
        <v>89</v>
      </c>
      <c r="F36" s="28">
        <v>99630</v>
      </c>
      <c r="G36" s="21"/>
      <c r="H36" s="41" t="s">
        <v>81</v>
      </c>
      <c r="I36" s="47">
        <f>SUM(I32:I35)</f>
        <v>0</v>
      </c>
      <c r="K36" s="49"/>
      <c r="L36" s="49"/>
    </row>
    <row r="37" spans="1:12">
      <c r="A37" s="16"/>
      <c r="B37" s="30"/>
      <c r="C37" s="49"/>
      <c r="D37" s="19"/>
      <c r="E37" s="35" t="s">
        <v>127</v>
      </c>
      <c r="F37" s="28">
        <v>499069</v>
      </c>
      <c r="G37" s="21"/>
      <c r="H37" s="22"/>
      <c r="I37" s="47"/>
      <c r="K37" s="49"/>
      <c r="L37" s="49"/>
    </row>
    <row r="38" spans="1:12">
      <c r="A38" s="16"/>
      <c r="B38" s="30"/>
      <c r="C38" s="49"/>
      <c r="D38" s="19"/>
      <c r="E38" s="35" t="s">
        <v>94</v>
      </c>
      <c r="F38" s="28">
        <v>596939</v>
      </c>
      <c r="G38" s="54"/>
      <c r="H38" s="22" t="s">
        <v>82</v>
      </c>
      <c r="I38" s="81">
        <v>68702</v>
      </c>
      <c r="K38" s="49"/>
      <c r="L38" s="49"/>
    </row>
    <row r="39" spans="1:12">
      <c r="A39" s="16"/>
      <c r="B39" s="30"/>
      <c r="C39" s="49"/>
      <c r="D39" s="19"/>
      <c r="E39" s="35" t="s">
        <v>93</v>
      </c>
      <c r="F39" s="79">
        <v>630102</v>
      </c>
      <c r="G39" s="45"/>
      <c r="H39" s="22" t="s">
        <v>120</v>
      </c>
      <c r="I39" s="47">
        <v>1520303</v>
      </c>
      <c r="K39" s="49"/>
      <c r="L39" s="49"/>
    </row>
    <row r="40" spans="1:12">
      <c r="A40" s="16"/>
      <c r="B40" s="30"/>
      <c r="C40" s="49"/>
      <c r="D40" s="19"/>
      <c r="E40" s="35" t="s">
        <v>19</v>
      </c>
      <c r="F40" s="47">
        <v>663266</v>
      </c>
      <c r="G40" s="45"/>
      <c r="H40" s="22" t="s">
        <v>17</v>
      </c>
      <c r="I40" s="47">
        <v>16380</v>
      </c>
      <c r="K40" s="49"/>
      <c r="L40" s="49"/>
    </row>
    <row r="41" spans="1:12">
      <c r="A41" s="16"/>
      <c r="B41" s="30"/>
      <c r="C41" s="49"/>
      <c r="D41" s="19"/>
      <c r="E41" s="35" t="s">
        <v>89</v>
      </c>
      <c r="F41" s="47">
        <v>165816</v>
      </c>
      <c r="G41" s="55"/>
      <c r="H41" s="56"/>
      <c r="I41" s="57"/>
      <c r="K41" s="49"/>
      <c r="L41" s="49"/>
    </row>
    <row r="42" spans="1:12">
      <c r="A42" s="58"/>
      <c r="B42" s="59"/>
      <c r="C42" s="60"/>
      <c r="D42" s="61"/>
      <c r="E42" s="59" t="s">
        <v>125</v>
      </c>
      <c r="F42" s="80">
        <v>497449</v>
      </c>
      <c r="G42" s="62"/>
      <c r="K42" s="60"/>
      <c r="L42" s="60"/>
    </row>
    <row r="43" spans="1:12">
      <c r="F43" s="5"/>
      <c r="G43" s="5"/>
      <c r="H43" s="3" t="s">
        <v>115</v>
      </c>
    </row>
    <row r="44" spans="1:12">
      <c r="E44" s="63"/>
      <c r="F44" s="5"/>
      <c r="G44" s="5"/>
      <c r="H44" s="3" t="s">
        <v>116</v>
      </c>
      <c r="I44" s="5">
        <v>7149082</v>
      </c>
    </row>
    <row r="45" spans="1:12">
      <c r="E45" s="63"/>
      <c r="F45" s="5"/>
      <c r="G45" s="5"/>
      <c r="H45" s="3" t="s">
        <v>117</v>
      </c>
      <c r="I45" s="5">
        <v>1594379</v>
      </c>
    </row>
    <row r="46" spans="1:12">
      <c r="E46" s="63"/>
      <c r="F46" s="5"/>
      <c r="G46" s="5"/>
      <c r="H46" s="3" t="s">
        <v>118</v>
      </c>
      <c r="I46" s="5">
        <f>I39+I40</f>
        <v>1536683</v>
      </c>
    </row>
    <row r="47" spans="1:12" ht="15" thickBot="1">
      <c r="E47" s="63"/>
      <c r="F47" s="5"/>
      <c r="G47" s="5"/>
      <c r="H47" s="3" t="s">
        <v>119</v>
      </c>
      <c r="I47" s="76">
        <f>I44+I45-I46</f>
        <v>7206778</v>
      </c>
    </row>
    <row r="48" spans="1:12" ht="15" thickTop="1">
      <c r="E48" s="63"/>
      <c r="F48" s="5"/>
      <c r="G48" s="5"/>
    </row>
    <row r="59" spans="2:2">
      <c r="B59" s="64"/>
    </row>
    <row r="60" spans="2:2">
      <c r="B60" s="65"/>
    </row>
    <row r="61" spans="2:2">
      <c r="B61" s="64"/>
    </row>
  </sheetData>
  <mergeCells count="1">
    <mergeCell ref="A31:C31"/>
  </mergeCells>
  <phoneticPr fontId="3" type="noConversion"/>
  <printOptions horizontalCentered="1"/>
  <pageMargins left="0.39370078740157483" right="0" top="1.1811023622047245" bottom="0.47244094488188981" header="0.59055118110236227" footer="0.15748031496062992"/>
  <pageSetup paperSize="9" scale="78" orientation="landscape" r:id="rId1"/>
  <headerFooter alignWithMargins="0">
    <oddHeader>&amp;L
帝寶101Q2財務比率(合併)&amp;RPreparer: DY 2012/8/17
Reviewer: KAY 2012/8/20 CH 2012/8/20 AMMY 2012/8/20
2320-2: &amp;P/&amp;N</oddHeader>
    <oddFooter>&amp;L帝寶工業股份有限公司 
Period End: 2012/6/30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L61"/>
  <sheetViews>
    <sheetView topLeftCell="C1" zoomScale="120" zoomScaleNormal="120" zoomScaleSheetLayoutView="100" workbookViewId="0">
      <pane ySplit="2" topLeftCell="A3" activePane="bottomLeft" state="frozen"/>
      <selection activeCell="A30" sqref="A30"/>
      <selection pane="bottomLeft" activeCell="A30" sqref="A30"/>
    </sheetView>
  </sheetViews>
  <sheetFormatPr defaultColWidth="31.28515625" defaultRowHeight="14.25"/>
  <cols>
    <col min="1" max="1" width="34" style="3" customWidth="1"/>
    <col min="2" max="2" width="23.140625" style="1" bestFit="1" customWidth="1"/>
    <col min="3" max="3" width="8.7109375" style="2" bestFit="1" customWidth="1"/>
    <col min="4" max="4" width="2.5703125" style="2" customWidth="1"/>
    <col min="5" max="5" width="32.28515625" style="3" customWidth="1"/>
    <col min="6" max="6" width="13" style="4" bestFit="1" customWidth="1"/>
    <col min="7" max="7" width="1" style="4" customWidth="1"/>
    <col min="8" max="8" width="36.85546875" style="3" customWidth="1"/>
    <col min="9" max="9" width="13" style="5" bestFit="1" customWidth="1"/>
    <col min="10" max="10" width="31.28515625" style="6"/>
    <col min="11" max="12" width="8.7109375" style="2" bestFit="1" customWidth="1"/>
    <col min="13" max="16384" width="31.28515625" style="3"/>
  </cols>
  <sheetData>
    <row r="1" spans="1:12">
      <c r="A1" s="1" t="s">
        <v>21</v>
      </c>
    </row>
    <row r="2" spans="1:12">
      <c r="A2" s="7" t="s">
        <v>122</v>
      </c>
      <c r="I2" s="8" t="s">
        <v>0</v>
      </c>
    </row>
    <row r="3" spans="1:12">
      <c r="A3" s="9" t="s">
        <v>22</v>
      </c>
      <c r="B3" s="10" t="s">
        <v>1</v>
      </c>
      <c r="C3" s="11">
        <f>F3/F4</f>
        <v>0.5848431474950101</v>
      </c>
      <c r="D3" s="12"/>
      <c r="E3" s="13" t="s">
        <v>23</v>
      </c>
      <c r="F3" s="67">
        <v>12262494</v>
      </c>
      <c r="G3" s="14"/>
      <c r="H3" s="15" t="s">
        <v>24</v>
      </c>
      <c r="I3" s="67">
        <f>F7+12123637</f>
        <v>21534505</v>
      </c>
      <c r="K3" s="11">
        <v>0.59016196378942232</v>
      </c>
      <c r="L3" s="11">
        <f>C3-K3</f>
        <v>-5.3188162944122208E-3</v>
      </c>
    </row>
    <row r="4" spans="1:12">
      <c r="A4" s="16" t="s">
        <v>102</v>
      </c>
      <c r="B4" s="17" t="s">
        <v>100</v>
      </c>
      <c r="C4" s="18">
        <f>SUM(F5:F6)/F7</f>
        <v>1.4601003860642823</v>
      </c>
      <c r="D4" s="19"/>
      <c r="E4" s="16" t="s">
        <v>25</v>
      </c>
      <c r="F4" s="68">
        <v>20967150</v>
      </c>
      <c r="G4" s="21"/>
      <c r="H4" s="22" t="s">
        <v>26</v>
      </c>
      <c r="I4" s="20">
        <v>0</v>
      </c>
      <c r="K4" s="18">
        <v>1.2489724628634415</v>
      </c>
      <c r="L4" s="18">
        <f t="shared" ref="L4:L24" si="0">C4-K4</f>
        <v>0.21112792320084073</v>
      </c>
    </row>
    <row r="5" spans="1:12">
      <c r="A5" s="23" t="s">
        <v>27</v>
      </c>
      <c r="B5" s="24" t="s">
        <v>2</v>
      </c>
      <c r="C5" s="25">
        <f>F9/F10</f>
        <v>1.1453514906166857</v>
      </c>
      <c r="D5" s="19"/>
      <c r="E5" s="16" t="s">
        <v>104</v>
      </c>
      <c r="F5" s="68">
        <v>8704656</v>
      </c>
      <c r="G5" s="21"/>
      <c r="H5" s="22" t="s">
        <v>112</v>
      </c>
      <c r="I5" s="68">
        <f>12690453-9410868+41732</f>
        <v>3321317</v>
      </c>
      <c r="K5" s="25">
        <v>1.2765880098049001</v>
      </c>
      <c r="L5" s="25">
        <f t="shared" si="0"/>
        <v>-0.13123651918821433</v>
      </c>
    </row>
    <row r="6" spans="1:12">
      <c r="A6" s="16" t="s">
        <v>28</v>
      </c>
      <c r="B6" s="17" t="s">
        <v>14</v>
      </c>
      <c r="C6" s="18">
        <f>(F9-F11-I38)/F10</f>
        <v>0.67514832547273596</v>
      </c>
      <c r="D6" s="19"/>
      <c r="E6" s="16" t="s">
        <v>101</v>
      </c>
      <c r="F6" s="68">
        <v>5036156</v>
      </c>
      <c r="G6" s="21"/>
      <c r="H6" s="22" t="s">
        <v>29</v>
      </c>
      <c r="I6" s="20">
        <f>F9-F10</f>
        <v>1050359</v>
      </c>
      <c r="K6" s="18">
        <v>0.7876312098969267</v>
      </c>
      <c r="L6" s="18">
        <f t="shared" si="0"/>
        <v>-0.11248288442419074</v>
      </c>
    </row>
    <row r="7" spans="1:12">
      <c r="A7" s="16" t="s">
        <v>30</v>
      </c>
      <c r="B7" s="17" t="s">
        <v>3</v>
      </c>
      <c r="C7" s="26">
        <f>F13/F14</f>
        <v>18.33452544704264</v>
      </c>
      <c r="D7" s="27"/>
      <c r="E7" s="16" t="s">
        <v>109</v>
      </c>
      <c r="F7" s="68">
        <v>9410868</v>
      </c>
      <c r="G7" s="21"/>
      <c r="H7" s="22" t="s">
        <v>31</v>
      </c>
      <c r="I7" s="28">
        <f>I47</f>
        <v>4620934</v>
      </c>
      <c r="K7" s="26">
        <v>-5.2465996179604613</v>
      </c>
      <c r="L7" s="26">
        <f t="shared" si="0"/>
        <v>23.5811250650031</v>
      </c>
    </row>
    <row r="8" spans="1:12">
      <c r="A8" s="23" t="s">
        <v>32</v>
      </c>
      <c r="B8" s="24" t="s">
        <v>18</v>
      </c>
      <c r="C8" s="29">
        <f>(F13+I39+I40)/F14</f>
        <v>36.923172856487852</v>
      </c>
      <c r="D8" s="27"/>
      <c r="E8" s="16" t="s">
        <v>121</v>
      </c>
      <c r="F8" s="20">
        <v>735674</v>
      </c>
      <c r="G8" s="21"/>
      <c r="H8" s="22"/>
      <c r="I8" s="28"/>
      <c r="K8" s="29">
        <v>15.433143080711606</v>
      </c>
      <c r="L8" s="29">
        <f t="shared" si="0"/>
        <v>21.490029775776247</v>
      </c>
    </row>
    <row r="9" spans="1:12">
      <c r="A9" s="16" t="s">
        <v>33</v>
      </c>
      <c r="B9" s="30" t="s">
        <v>95</v>
      </c>
      <c r="C9" s="31">
        <f>F18*2/(SUM(I12:I15)/2)</f>
        <v>4.5091157477269004</v>
      </c>
      <c r="D9" s="32"/>
      <c r="E9" s="16" t="s">
        <v>34</v>
      </c>
      <c r="F9" s="68">
        <v>8276697</v>
      </c>
      <c r="G9" s="21"/>
      <c r="H9" s="22" t="s">
        <v>35</v>
      </c>
      <c r="I9" s="68">
        <v>834816</v>
      </c>
      <c r="K9" s="31">
        <v>4.6767890640311336</v>
      </c>
      <c r="L9" s="31">
        <f>C9-K9</f>
        <v>-0.16767331630423321</v>
      </c>
    </row>
    <row r="10" spans="1:12">
      <c r="A10" s="33" t="s">
        <v>36</v>
      </c>
      <c r="B10" s="17" t="s">
        <v>83</v>
      </c>
      <c r="C10" s="26">
        <f>365/C9</f>
        <v>80.947134742327449</v>
      </c>
      <c r="D10" s="34"/>
      <c r="E10" s="35" t="s">
        <v>37</v>
      </c>
      <c r="F10" s="68">
        <v>7226338</v>
      </c>
      <c r="G10" s="21"/>
      <c r="H10" s="22" t="s">
        <v>38</v>
      </c>
      <c r="I10" s="68">
        <f>F14</f>
        <v>54525</v>
      </c>
      <c r="K10" s="26">
        <v>78.044999464951317</v>
      </c>
      <c r="L10" s="26">
        <f t="shared" si="0"/>
        <v>2.9021352773761322</v>
      </c>
    </row>
    <row r="11" spans="1:12">
      <c r="A11" s="33" t="s">
        <v>39</v>
      </c>
      <c r="B11" s="30" t="s">
        <v>96</v>
      </c>
      <c r="C11" s="26">
        <f>I18*2/(SUM(I16+I17)/2)</f>
        <v>2.8938873534906668</v>
      </c>
      <c r="D11" s="27"/>
      <c r="E11" s="16" t="s">
        <v>40</v>
      </c>
      <c r="F11" s="68">
        <v>3239743</v>
      </c>
      <c r="G11" s="21"/>
      <c r="H11" s="22" t="s">
        <v>41</v>
      </c>
      <c r="I11" s="68">
        <f>F13-F14</f>
        <v>945165</v>
      </c>
      <c r="K11" s="26">
        <v>2.9937714403313924</v>
      </c>
      <c r="L11" s="26">
        <f t="shared" si="0"/>
        <v>-9.9884086840725583E-2</v>
      </c>
    </row>
    <row r="12" spans="1:12">
      <c r="A12" s="16" t="s">
        <v>42</v>
      </c>
      <c r="B12" s="36" t="s">
        <v>97</v>
      </c>
      <c r="C12" s="37">
        <f>I18*2/(SUM(I27:I30)/2)</f>
        <v>5.4191958957550277</v>
      </c>
      <c r="D12" s="38"/>
      <c r="E12" s="16" t="s">
        <v>88</v>
      </c>
      <c r="F12" s="68">
        <v>169465</v>
      </c>
      <c r="G12" s="21"/>
      <c r="H12" s="22" t="s">
        <v>43</v>
      </c>
      <c r="I12" s="68">
        <v>258024</v>
      </c>
      <c r="K12" s="37">
        <v>5.7242227594407815</v>
      </c>
      <c r="L12" s="37">
        <f t="shared" si="0"/>
        <v>-0.30502686368575382</v>
      </c>
    </row>
    <row r="13" spans="1:12">
      <c r="A13" s="16" t="s">
        <v>44</v>
      </c>
      <c r="B13" s="30" t="s">
        <v>4</v>
      </c>
      <c r="C13" s="26">
        <f>365/C11</f>
        <v>126.12792255362996</v>
      </c>
      <c r="D13" s="34"/>
      <c r="E13" s="33" t="s">
        <v>87</v>
      </c>
      <c r="F13" s="68">
        <f>945165+54525</f>
        <v>999690</v>
      </c>
      <c r="G13" s="21"/>
      <c r="H13" s="39" t="s">
        <v>45</v>
      </c>
      <c r="I13" s="68">
        <v>2644611</v>
      </c>
      <c r="K13" s="26">
        <v>121.91979490578503</v>
      </c>
      <c r="L13" s="26">
        <f t="shared" si="0"/>
        <v>4.2081276478449325</v>
      </c>
    </row>
    <row r="14" spans="1:12">
      <c r="A14" s="16" t="s">
        <v>103</v>
      </c>
      <c r="B14" s="40" t="s">
        <v>111</v>
      </c>
      <c r="C14" s="26">
        <f>F18*2/I23</f>
        <v>1.4337006399831926</v>
      </c>
      <c r="D14" s="27"/>
      <c r="E14" s="33" t="s">
        <v>46</v>
      </c>
      <c r="F14" s="68">
        <v>54525</v>
      </c>
      <c r="G14" s="21"/>
      <c r="H14" s="39" t="s">
        <v>47</v>
      </c>
      <c r="I14" s="68">
        <v>259923</v>
      </c>
      <c r="K14" s="26">
        <v>1.2150060780898926</v>
      </c>
      <c r="L14" s="26">
        <f t="shared" si="0"/>
        <v>0.21869456189330005</v>
      </c>
    </row>
    <row r="15" spans="1:12">
      <c r="A15" s="16" t="s">
        <v>48</v>
      </c>
      <c r="B15" s="17" t="s">
        <v>107</v>
      </c>
      <c r="C15" s="26">
        <f>F18*2/F16</f>
        <v>0.6480148628916278</v>
      </c>
      <c r="D15" s="27"/>
      <c r="E15" s="16" t="s">
        <v>49</v>
      </c>
      <c r="F15" s="68">
        <v>733874</v>
      </c>
      <c r="G15" s="21"/>
      <c r="H15" s="39" t="s">
        <v>50</v>
      </c>
      <c r="I15" s="68">
        <v>2576302</v>
      </c>
      <c r="K15" s="26">
        <v>0.65745562973445326</v>
      </c>
      <c r="L15" s="26">
        <f t="shared" si="0"/>
        <v>-9.4407668428254654E-3</v>
      </c>
    </row>
    <row r="16" spans="1:12">
      <c r="A16" s="33" t="s">
        <v>51</v>
      </c>
      <c r="B16" s="17" t="s">
        <v>108</v>
      </c>
      <c r="C16" s="18">
        <f>(F15+I10*0.83)*2/F16</f>
        <v>7.8043678650820458E-2</v>
      </c>
      <c r="D16" s="19"/>
      <c r="E16" s="16" t="s">
        <v>52</v>
      </c>
      <c r="F16" s="68">
        <f>(F4+I22)/2</f>
        <v>19966505</v>
      </c>
      <c r="G16" s="21"/>
      <c r="H16" s="22" t="s">
        <v>53</v>
      </c>
      <c r="I16" s="68">
        <v>3067705</v>
      </c>
      <c r="K16" s="18">
        <v>-1.8047453480236827E-2</v>
      </c>
      <c r="L16" s="18">
        <f t="shared" si="0"/>
        <v>9.6091132131057286E-2</v>
      </c>
    </row>
    <row r="17" spans="1:12">
      <c r="A17" s="16" t="s">
        <v>54</v>
      </c>
      <c r="B17" s="17" t="s">
        <v>98</v>
      </c>
      <c r="C17" s="18">
        <f>F15*2/F17</f>
        <v>0.17185554419737789</v>
      </c>
      <c r="D17" s="19"/>
      <c r="E17" s="16" t="s">
        <v>55</v>
      </c>
      <c r="F17" s="68">
        <f>(F5+I21)/2</f>
        <v>8540591.5</v>
      </c>
      <c r="G17" s="21"/>
      <c r="H17" s="41" t="s">
        <v>56</v>
      </c>
      <c r="I17" s="68">
        <v>3239743</v>
      </c>
      <c r="K17" s="18">
        <v>-4.9121452930691832E-2</v>
      </c>
      <c r="L17" s="18">
        <f t="shared" si="0"/>
        <v>0.22097699712806973</v>
      </c>
    </row>
    <row r="18" spans="1:12">
      <c r="A18" s="16" t="s">
        <v>57</v>
      </c>
      <c r="B18" s="30" t="s">
        <v>84</v>
      </c>
      <c r="C18" s="18">
        <f>I9/I19</f>
        <v>0.50345804154474472</v>
      </c>
      <c r="D18" s="19"/>
      <c r="E18" s="16" t="s">
        <v>58</v>
      </c>
      <c r="F18" s="68">
        <v>6469296</v>
      </c>
      <c r="G18" s="21"/>
      <c r="H18" s="22" t="s">
        <v>59</v>
      </c>
      <c r="I18" s="68">
        <v>4563261</v>
      </c>
      <c r="K18" s="18">
        <v>0.82572712952397953</v>
      </c>
      <c r="L18" s="18">
        <f t="shared" si="0"/>
        <v>-0.32226908797923481</v>
      </c>
    </row>
    <row r="19" spans="1:12">
      <c r="A19" s="16" t="s">
        <v>60</v>
      </c>
      <c r="B19" s="30" t="s">
        <v>85</v>
      </c>
      <c r="C19" s="18">
        <f>I11/I19</f>
        <v>0.57000694744307556</v>
      </c>
      <c r="D19" s="19"/>
      <c r="E19" s="16" t="s">
        <v>61</v>
      </c>
      <c r="F19" s="68">
        <v>165816</v>
      </c>
      <c r="G19" s="21"/>
      <c r="H19" s="22" t="s">
        <v>62</v>
      </c>
      <c r="I19" s="68">
        <v>1658164</v>
      </c>
      <c r="K19" s="18">
        <v>-0.32737533802446561</v>
      </c>
      <c r="L19" s="18">
        <f t="shared" si="0"/>
        <v>0.89738228546754117</v>
      </c>
    </row>
    <row r="20" spans="1:12">
      <c r="A20" s="16" t="s">
        <v>63</v>
      </c>
      <c r="B20" s="40" t="s">
        <v>5</v>
      </c>
      <c r="C20" s="18">
        <f>F15/F18</f>
        <v>0.11343954581765929</v>
      </c>
      <c r="D20" s="19"/>
      <c r="E20" s="16" t="s">
        <v>64</v>
      </c>
      <c r="F20" s="68">
        <v>1332850</v>
      </c>
      <c r="G20" s="21"/>
      <c r="H20" s="22" t="s">
        <v>105</v>
      </c>
      <c r="I20" s="68">
        <v>8638356</v>
      </c>
      <c r="K20" s="18">
        <v>-3.2480406700189729E-2</v>
      </c>
      <c r="L20" s="18">
        <f t="shared" si="0"/>
        <v>0.14591995251784901</v>
      </c>
    </row>
    <row r="21" spans="1:12">
      <c r="A21" s="33" t="s">
        <v>65</v>
      </c>
      <c r="B21" s="17" t="s">
        <v>6</v>
      </c>
      <c r="C21" s="26">
        <f>F8/F19</f>
        <v>4.4366888599411398</v>
      </c>
      <c r="D21" s="27"/>
      <c r="E21" s="16" t="s">
        <v>66</v>
      </c>
      <c r="F21" s="20">
        <f>SUM(F22:F26)</f>
        <v>10445124</v>
      </c>
      <c r="G21" s="21"/>
      <c r="H21" s="22" t="s">
        <v>106</v>
      </c>
      <c r="I21" s="68">
        <v>8376527</v>
      </c>
      <c r="K21" s="26">
        <v>-2.3558643315482222</v>
      </c>
      <c r="L21" s="26">
        <f t="shared" si="0"/>
        <v>6.792553191489362</v>
      </c>
    </row>
    <row r="22" spans="1:12">
      <c r="A22" s="16" t="s">
        <v>67</v>
      </c>
      <c r="B22" s="17" t="s">
        <v>99</v>
      </c>
      <c r="C22" s="18">
        <f>F20*2/F10</f>
        <v>0.36888670305762061</v>
      </c>
      <c r="D22" s="19"/>
      <c r="E22" s="35" t="s">
        <v>15</v>
      </c>
      <c r="F22" s="68">
        <v>2695934</v>
      </c>
      <c r="G22" s="21"/>
      <c r="H22" s="22" t="s">
        <v>68</v>
      </c>
      <c r="I22" s="68">
        <v>18965860</v>
      </c>
      <c r="K22" s="18">
        <v>0.28989685908247381</v>
      </c>
      <c r="L22" s="18">
        <f t="shared" si="0"/>
        <v>7.8989843975146801E-2</v>
      </c>
    </row>
    <row r="23" spans="1:12">
      <c r="A23" s="16" t="s">
        <v>69</v>
      </c>
      <c r="B23" s="17" t="s">
        <v>7</v>
      </c>
      <c r="C23" s="18">
        <f>F21/F27</f>
        <v>0.7585615490768608</v>
      </c>
      <c r="D23" s="19"/>
      <c r="E23" s="35" t="s">
        <v>16</v>
      </c>
      <c r="F23" s="68">
        <v>1847345</v>
      </c>
      <c r="G23" s="21"/>
      <c r="H23" s="22" t="s">
        <v>110</v>
      </c>
      <c r="I23" s="68">
        <f>(F7+I20)/2</f>
        <v>9024612</v>
      </c>
      <c r="K23" s="18">
        <v>0.64955719071380458</v>
      </c>
      <c r="L23" s="18">
        <f t="shared" si="0"/>
        <v>0.10900435836305622</v>
      </c>
    </row>
    <row r="24" spans="1:12">
      <c r="A24" s="16" t="s">
        <v>70</v>
      </c>
      <c r="B24" s="17" t="s">
        <v>86</v>
      </c>
      <c r="C24" s="18">
        <f>(F20-I24)/SUM(I3:I6)</f>
        <v>5.1449111700408487E-2</v>
      </c>
      <c r="D24" s="19"/>
      <c r="E24" s="35" t="s">
        <v>19</v>
      </c>
      <c r="F24" s="68">
        <v>1713676</v>
      </c>
      <c r="G24" s="21"/>
      <c r="H24" s="22" t="s">
        <v>71</v>
      </c>
      <c r="I24" s="20">
        <f>F42</f>
        <v>0</v>
      </c>
      <c r="K24" s="18">
        <v>4.762271561960784E-2</v>
      </c>
      <c r="L24" s="18">
        <f t="shared" si="0"/>
        <v>3.8263960808006467E-3</v>
      </c>
    </row>
    <row r="25" spans="1:12">
      <c r="A25" s="72" t="s">
        <v>113</v>
      </c>
      <c r="B25" s="73" t="s">
        <v>114</v>
      </c>
      <c r="C25" s="26">
        <f>(F18-I7)/I9</f>
        <v>2.214095082030052</v>
      </c>
      <c r="D25" s="27"/>
      <c r="E25" s="35" t="s">
        <v>74</v>
      </c>
      <c r="F25" s="68">
        <v>2855319</v>
      </c>
      <c r="G25" s="21"/>
      <c r="H25" s="22" t="s">
        <v>73</v>
      </c>
      <c r="I25" s="68">
        <v>1129754</v>
      </c>
      <c r="K25" s="26">
        <v>1.0677709939023106</v>
      </c>
      <c r="L25" s="26">
        <f>C26-K25</f>
        <v>2.1067824657368117E-3</v>
      </c>
    </row>
    <row r="26" spans="1:12">
      <c r="A26" s="16" t="s">
        <v>72</v>
      </c>
      <c r="B26" s="17" t="s">
        <v>8</v>
      </c>
      <c r="C26" s="26">
        <f>I9/(I9-I10)</f>
        <v>1.0698777763680474</v>
      </c>
      <c r="D26" s="27"/>
      <c r="E26" s="35" t="s">
        <v>123</v>
      </c>
      <c r="F26" s="68">
        <f>F20</f>
        <v>1332850</v>
      </c>
      <c r="G26" s="21"/>
      <c r="H26" s="22" t="s">
        <v>75</v>
      </c>
      <c r="I26" s="68">
        <v>0</v>
      </c>
      <c r="K26" s="42"/>
      <c r="L26" s="42"/>
    </row>
    <row r="27" spans="1:12">
      <c r="A27" s="16"/>
      <c r="B27" s="17"/>
      <c r="C27" s="43"/>
      <c r="D27" s="44"/>
      <c r="E27" s="33" t="s">
        <v>76</v>
      </c>
      <c r="F27" s="20">
        <f>SUM(F28:F42)</f>
        <v>13769646</v>
      </c>
      <c r="G27" s="21"/>
      <c r="H27" s="22" t="s">
        <v>77</v>
      </c>
      <c r="I27" s="69">
        <v>739823</v>
      </c>
      <c r="K27" s="43"/>
      <c r="L27" s="43"/>
    </row>
    <row r="28" spans="1:12">
      <c r="A28" s="16"/>
      <c r="B28" s="17"/>
      <c r="C28" s="43"/>
      <c r="D28" s="44"/>
      <c r="E28" s="35" t="s">
        <v>91</v>
      </c>
      <c r="F28" s="69">
        <v>1982520</v>
      </c>
      <c r="G28" s="45"/>
      <c r="H28" s="22" t="s">
        <v>78</v>
      </c>
      <c r="I28" s="69">
        <v>865532</v>
      </c>
      <c r="K28" s="43"/>
      <c r="L28" s="43"/>
    </row>
    <row r="29" spans="1:12">
      <c r="A29" s="16"/>
      <c r="B29" s="17"/>
      <c r="C29" s="43"/>
      <c r="D29" s="44"/>
      <c r="E29" s="35" t="s">
        <v>16</v>
      </c>
      <c r="F29" s="69">
        <v>2268581</v>
      </c>
      <c r="G29" s="21"/>
      <c r="H29" s="22" t="s">
        <v>79</v>
      </c>
      <c r="I29" s="69">
        <v>832084</v>
      </c>
      <c r="K29" s="43"/>
      <c r="L29" s="43"/>
    </row>
    <row r="30" spans="1:12">
      <c r="A30" s="16"/>
      <c r="B30" s="17"/>
      <c r="C30" s="43"/>
      <c r="D30" s="44"/>
      <c r="E30" s="35" t="s">
        <v>20</v>
      </c>
      <c r="F30" s="69">
        <v>2223192</v>
      </c>
      <c r="G30" s="21"/>
      <c r="H30" s="22" t="s">
        <v>80</v>
      </c>
      <c r="I30" s="69">
        <v>930781</v>
      </c>
      <c r="K30" s="43"/>
      <c r="L30" s="43"/>
    </row>
    <row r="31" spans="1:12" ht="15.75">
      <c r="A31" s="291" t="s">
        <v>9</v>
      </c>
      <c r="B31" s="292"/>
      <c r="C31" s="293"/>
      <c r="D31" s="46"/>
      <c r="E31" s="35" t="s">
        <v>89</v>
      </c>
      <c r="F31" s="69">
        <v>2449057</v>
      </c>
      <c r="G31" s="21"/>
      <c r="H31" s="74"/>
      <c r="I31" s="75"/>
      <c r="K31" s="66"/>
      <c r="L31" s="66"/>
    </row>
    <row r="32" spans="1:12">
      <c r="A32" s="48" t="s">
        <v>10</v>
      </c>
      <c r="B32" s="30"/>
      <c r="C32" s="49"/>
      <c r="D32" s="19"/>
      <c r="E32" s="35" t="s">
        <v>90</v>
      </c>
      <c r="F32" s="69">
        <f>I25+I26</f>
        <v>1129754</v>
      </c>
      <c r="G32" s="45"/>
      <c r="H32" s="74"/>
      <c r="I32" s="75"/>
      <c r="K32" s="49"/>
      <c r="L32" s="49"/>
    </row>
    <row r="33" spans="1:12">
      <c r="A33" s="50" t="s">
        <v>11</v>
      </c>
      <c r="B33" s="51"/>
      <c r="C33" s="49"/>
      <c r="D33" s="19"/>
      <c r="E33" s="35" t="s">
        <v>92</v>
      </c>
      <c r="F33" s="68">
        <v>161590</v>
      </c>
      <c r="G33" s="21"/>
      <c r="H33" s="74"/>
      <c r="I33" s="75"/>
      <c r="K33" s="49"/>
      <c r="L33" s="49"/>
    </row>
    <row r="34" spans="1:12">
      <c r="A34" s="52" t="s">
        <v>12</v>
      </c>
      <c r="B34" s="51"/>
      <c r="C34" s="49"/>
      <c r="D34" s="19"/>
      <c r="E34" s="35" t="s">
        <v>93</v>
      </c>
      <c r="F34" s="68">
        <v>698218</v>
      </c>
      <c r="G34" s="21"/>
      <c r="H34" s="41"/>
      <c r="I34" s="47"/>
      <c r="K34" s="49"/>
      <c r="L34" s="49"/>
    </row>
    <row r="35" spans="1:12">
      <c r="A35" s="53" t="s">
        <v>13</v>
      </c>
      <c r="B35" s="30"/>
      <c r="C35" s="49"/>
      <c r="D35" s="19"/>
      <c r="E35" s="35" t="s">
        <v>19</v>
      </c>
      <c r="F35" s="68">
        <v>205576</v>
      </c>
      <c r="G35" s="21"/>
      <c r="H35" s="41"/>
      <c r="I35" s="47"/>
      <c r="K35" s="49"/>
      <c r="L35" s="49"/>
    </row>
    <row r="36" spans="1:12">
      <c r="A36" s="16"/>
      <c r="B36" s="30"/>
      <c r="C36" s="49"/>
      <c r="D36" s="19"/>
      <c r="E36" s="35" t="s">
        <v>89</v>
      </c>
      <c r="F36" s="68">
        <v>99630</v>
      </c>
      <c r="G36" s="21"/>
      <c r="H36" s="41" t="s">
        <v>81</v>
      </c>
      <c r="I36" s="47">
        <f>SUM(I32:I35)</f>
        <v>0</v>
      </c>
      <c r="K36" s="49"/>
      <c r="L36" s="49"/>
    </row>
    <row r="37" spans="1:12">
      <c r="A37" s="16"/>
      <c r="B37" s="30"/>
      <c r="C37" s="49"/>
      <c r="D37" s="19"/>
      <c r="E37" s="35" t="s">
        <v>124</v>
      </c>
      <c r="F37" s="68">
        <v>495405</v>
      </c>
      <c r="G37" s="21"/>
      <c r="H37" s="22"/>
      <c r="I37" s="47"/>
      <c r="K37" s="49"/>
      <c r="L37" s="49"/>
    </row>
    <row r="38" spans="1:12">
      <c r="A38" s="16"/>
      <c r="B38" s="30"/>
      <c r="C38" s="49"/>
      <c r="D38" s="19"/>
      <c r="E38" s="35" t="s">
        <v>94</v>
      </c>
      <c r="F38" s="68">
        <v>596939</v>
      </c>
      <c r="G38" s="54"/>
      <c r="H38" s="22" t="s">
        <v>82</v>
      </c>
      <c r="I38" s="69">
        <v>158104</v>
      </c>
      <c r="K38" s="49"/>
      <c r="L38" s="49"/>
    </row>
    <row r="39" spans="1:12">
      <c r="A39" s="16"/>
      <c r="B39" s="30"/>
      <c r="C39" s="49"/>
      <c r="D39" s="19"/>
      <c r="E39" s="35" t="s">
        <v>93</v>
      </c>
      <c r="F39" s="71">
        <v>630102</v>
      </c>
      <c r="G39" s="45"/>
      <c r="H39" s="22" t="s">
        <v>120</v>
      </c>
      <c r="I39" s="69">
        <f>1005836-2801</f>
        <v>1003035</v>
      </c>
      <c r="K39" s="49"/>
      <c r="L39" s="49"/>
    </row>
    <row r="40" spans="1:12">
      <c r="A40" s="16"/>
      <c r="B40" s="30"/>
      <c r="C40" s="49"/>
      <c r="D40" s="19"/>
      <c r="E40" s="35" t="s">
        <v>19</v>
      </c>
      <c r="F40" s="69">
        <v>663266</v>
      </c>
      <c r="G40" s="45"/>
      <c r="H40" s="22" t="s">
        <v>17</v>
      </c>
      <c r="I40" s="69">
        <v>10511</v>
      </c>
      <c r="K40" s="49"/>
      <c r="L40" s="49"/>
    </row>
    <row r="41" spans="1:12">
      <c r="A41" s="16"/>
      <c r="B41" s="30"/>
      <c r="C41" s="49"/>
      <c r="D41" s="19"/>
      <c r="E41" s="35" t="s">
        <v>89</v>
      </c>
      <c r="F41" s="69">
        <v>165816</v>
      </c>
      <c r="G41" s="55"/>
      <c r="H41" s="56"/>
      <c r="I41" s="57"/>
      <c r="K41" s="49"/>
      <c r="L41" s="49"/>
    </row>
    <row r="42" spans="1:12">
      <c r="A42" s="58"/>
      <c r="B42" s="59"/>
      <c r="C42" s="60"/>
      <c r="D42" s="61"/>
      <c r="E42" s="59" t="s">
        <v>123</v>
      </c>
      <c r="F42" s="70">
        <v>0</v>
      </c>
      <c r="G42" s="62"/>
      <c r="K42" s="60"/>
      <c r="L42" s="60"/>
    </row>
    <row r="43" spans="1:12">
      <c r="F43" s="5"/>
      <c r="G43" s="5"/>
      <c r="H43" s="3" t="s">
        <v>115</v>
      </c>
    </row>
    <row r="44" spans="1:12">
      <c r="E44" s="63"/>
      <c r="F44" s="5"/>
      <c r="G44" s="5"/>
      <c r="H44" s="3" t="s">
        <v>116</v>
      </c>
      <c r="I44" s="5">
        <v>4563261</v>
      </c>
    </row>
    <row r="45" spans="1:12">
      <c r="E45" s="63"/>
      <c r="F45" s="5"/>
      <c r="G45" s="5"/>
      <c r="H45" s="3" t="s">
        <v>117</v>
      </c>
      <c r="I45" s="5">
        <v>1071219</v>
      </c>
    </row>
    <row r="46" spans="1:12">
      <c r="E46" s="63"/>
      <c r="F46" s="5"/>
      <c r="G46" s="5"/>
      <c r="H46" s="3" t="s">
        <v>118</v>
      </c>
      <c r="I46" s="5">
        <f>I39+I40</f>
        <v>1013546</v>
      </c>
    </row>
    <row r="47" spans="1:12" ht="15" thickBot="1">
      <c r="E47" s="63"/>
      <c r="F47" s="5"/>
      <c r="G47" s="5"/>
      <c r="H47" s="3" t="s">
        <v>119</v>
      </c>
      <c r="I47" s="76">
        <f>I44+I45-I46</f>
        <v>4620934</v>
      </c>
    </row>
    <row r="48" spans="1:12" ht="15" thickTop="1">
      <c r="E48" s="63"/>
      <c r="F48" s="5"/>
      <c r="G48" s="5"/>
    </row>
    <row r="59" spans="2:2">
      <c r="B59" s="64"/>
    </row>
    <row r="60" spans="2:2">
      <c r="B60" s="65"/>
    </row>
    <row r="61" spans="2:2">
      <c r="B61" s="64"/>
    </row>
  </sheetData>
  <mergeCells count="1">
    <mergeCell ref="A31:C31"/>
  </mergeCells>
  <phoneticPr fontId="3" type="noConversion"/>
  <printOptions horizontalCentered="1"/>
  <pageMargins left="0.39370078740157483" right="0" top="1.1811023622047245" bottom="0.47244094488188981" header="0.59055118110236227" footer="0.15748031496062992"/>
  <pageSetup paperSize="9" scale="78" orientation="landscape" r:id="rId1"/>
  <headerFooter alignWithMargins="0">
    <oddHeader>&amp;L
帝寶101Q2財務比率(合併)&amp;RPreparer: DY 2012/8/17
Reviewer: KAY 2012/8/20 CH 2012/8/20 AMMY 2012/8/20
2320-2: &amp;P/&amp;N</oddHeader>
    <oddFooter>&amp;L帝寶工業股份有限公司 
Period End: 2012/6/30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<?xml version="1.0" encoding="utf-8"?>
<DAEMSEngagementItemInfo xmlns="http://schemas.microsoft.com/DAEMSEngagementItemInfoXML">
  <EngagementID>5001324786</EngagementID>
  <LogicalEMSServerID>3792125711090171304</LogicalEMSServerID>
  <WorkingPaperID>2745616080000001459</WorkingPaperID>
</DAEMSEngagementItemInfo>
</file>

<file path=customXml/item4.xml><?xml version="1.0" encoding="utf-8"?>
<ArrayOfTBLink xmlns:xsd="http://www.w3.org/2001/XMLSchema" xmlns:xsi="http://www.w3.org/2001/XMLSchema-instance"/>
</file>

<file path=customXml/itemProps1.xml><?xml version="1.0" encoding="utf-8"?>
<ds:datastoreItem xmlns:ds="http://schemas.openxmlformats.org/officeDocument/2006/customXml" ds:itemID="{6D624865-AC54-4A8B-B705-DE49E35A7CFC}">
  <ds:schemaRefs>
    <ds:schemaRef ds:uri="http://www.w3.org/2001/XMLSchema"/>
  </ds:schemaRefs>
</ds:datastoreItem>
</file>

<file path=customXml/itemProps2.xml><?xml version="1.0" encoding="utf-8"?>
<ds:datastoreItem xmlns:ds="http://schemas.openxmlformats.org/officeDocument/2006/customXml" ds:itemID="{80FFEF29-39CC-4D88-AD18-72E1A3009341}">
  <ds:schemaRefs>
    <ds:schemaRef ds:uri="http://www.w3.org/2001/XMLSchema"/>
  </ds:schemaRefs>
</ds:datastoreItem>
</file>

<file path=customXml/itemProps3.xml><?xml version="1.0" encoding="utf-8"?>
<ds:datastoreItem xmlns:ds="http://schemas.openxmlformats.org/officeDocument/2006/customXml" ds:itemID="{A89B18F8-3629-47A4-B8A4-53CCB5B39721}">
  <ds:schemaRefs>
    <ds:schemaRef ds:uri="http://schemas.microsoft.com/DAEMSEngagementItemInfoXML"/>
  </ds:schemaRefs>
</ds:datastoreItem>
</file>

<file path=customXml/itemProps4.xml><?xml version="1.0" encoding="utf-8"?>
<ds:datastoreItem xmlns:ds="http://schemas.openxmlformats.org/officeDocument/2006/customXml" ds:itemID="{A4BA8BB0-0799-4E4C-A62C-7CF0CE51E59D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23</vt:i4>
      </vt:variant>
      <vt:variant>
        <vt:lpstr>已命名的範圍</vt:lpstr>
      </vt:variant>
      <vt:variant>
        <vt:i4>13</vt:i4>
      </vt:variant>
    </vt:vector>
  </HeadingPairs>
  <TitlesOfParts>
    <vt:vector size="36" baseType="lpstr">
      <vt:lpstr>財務比率107 Q3</vt:lpstr>
      <vt:lpstr>財務比率115Q1</vt:lpstr>
      <vt:lpstr>預付</vt:lpstr>
      <vt:lpstr>財務比率111Q1 </vt:lpstr>
      <vt:lpstr>財務比率111Q3</vt:lpstr>
      <vt:lpstr>財務比率111Q2 </vt:lpstr>
      <vt:lpstr>財務比率110Q2</vt:lpstr>
      <vt:lpstr>財務比率109Q3 </vt:lpstr>
      <vt:lpstr>財務比率109Q2</vt:lpstr>
      <vt:lpstr>財務比率109Q1</vt:lpstr>
      <vt:lpstr>財務比率108Q4</vt:lpstr>
      <vt:lpstr>財務比率108Q3</vt:lpstr>
      <vt:lpstr>財務比率108Q2</vt:lpstr>
      <vt:lpstr>財務比率105Q4</vt:lpstr>
      <vt:lpstr>財務比率103Q4</vt:lpstr>
      <vt:lpstr>財務比率103Q3</vt:lpstr>
      <vt:lpstr>財務比率103Q2</vt:lpstr>
      <vt:lpstr>財務比率103Q1</vt:lpstr>
      <vt:lpstr>財務比率102Q4</vt:lpstr>
      <vt:lpstr>財務比率101Q4  IFRS</vt:lpstr>
      <vt:lpstr>財務比率102Q3</vt:lpstr>
      <vt:lpstr>財務比率102Q3 (2)</vt:lpstr>
      <vt:lpstr>財務比率102Q2</vt:lpstr>
      <vt:lpstr>'財務比率101Q4  IFRS'!Print_Area</vt:lpstr>
      <vt:lpstr>財務比率102Q2!Print_Area</vt:lpstr>
      <vt:lpstr>財務比率102Q3!Print_Area</vt:lpstr>
      <vt:lpstr>'財務比率102Q3 (2)'!Print_Area</vt:lpstr>
      <vt:lpstr>財務比率102Q4!Print_Area</vt:lpstr>
      <vt:lpstr>財務比率103Q1!Print_Area</vt:lpstr>
      <vt:lpstr>財務比率103Q2!Print_Area</vt:lpstr>
      <vt:lpstr>財務比率103Q3!Print_Area</vt:lpstr>
      <vt:lpstr>財務比率103Q4!Print_Area</vt:lpstr>
      <vt:lpstr>財務比率105Q4!Print_Area</vt:lpstr>
      <vt:lpstr>'財務比率107 Q3'!Print_Area</vt:lpstr>
      <vt:lpstr>財務比率108Q2!Print_Area</vt:lpstr>
      <vt:lpstr>財務比率108Q4!Print_Area</vt:lpstr>
    </vt:vector>
  </TitlesOfParts>
  <Company>Deloitte Touche Tohmatsu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Deloitte Touche Tohmatsu</dc:creator>
  <cp:lastModifiedBy>admin</cp:lastModifiedBy>
  <cp:lastPrinted>2019-08-02T02:44:02Z</cp:lastPrinted>
  <dcterms:created xsi:type="dcterms:W3CDTF">2010-06-10T17:58:57Z</dcterms:created>
  <dcterms:modified xsi:type="dcterms:W3CDTF">2026-04-29T23:52:56Z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2021-05-04T10:30:37Z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ac616588-0119-48d0-82b7-c0ca3b0e64d2</vt:lpwstr>
  </property>
  <property fmtid="{D5CDD505-2E9C-101B-9397-08002B2CF9AE}" pid="8" name="MSIP_Label_ea60d57e-af5b-4752-ac57-3e4f28ca11dc_ContentBits">
    <vt:lpwstr>0</vt:lpwstr>
  </property>
</Properties>
</file>