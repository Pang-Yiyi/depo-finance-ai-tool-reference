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04.移交\PBC\2026\Q1\銷貨毛利\"/>
    </mc:Choice>
  </mc:AlternateContent>
  <bookViews>
    <workbookView xWindow="0" yWindow="0" windowWidth="21855" windowHeight="14940"/>
  </bookViews>
  <sheets>
    <sheet name="原始檔" sheetId="1" r:id="rId1"/>
    <sheet name="樞紐" sheetId="3" r:id="rId2"/>
    <sheet name="分群碼名稱" sheetId="2" r:id="rId3"/>
  </sheets>
  <externalReferences>
    <externalReference r:id="rId4"/>
  </externalReferences>
  <definedNames>
    <definedName name="TextRefCopy39">'[1]GIT 102Q1'!$F$39</definedName>
  </definedNames>
  <calcPr calcId="162913"/>
  <pivotCaches>
    <pivotCache cacheId="2" r:id="rId5"/>
  </pivotCaches>
</workbook>
</file>

<file path=xl/calcChain.xml><?xml version="1.0" encoding="utf-8"?>
<calcChain xmlns="http://schemas.openxmlformats.org/spreadsheetml/2006/main">
  <c r="B3" i="1" l="1"/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</calcChain>
</file>

<file path=xl/sharedStrings.xml><?xml version="1.0" encoding="utf-8"?>
<sst xmlns="http://schemas.openxmlformats.org/spreadsheetml/2006/main" count="561" uniqueCount="343">
  <si>
    <t/>
  </si>
  <si>
    <t>A00</t>
  </si>
  <si>
    <t>燈殼</t>
  </si>
  <si>
    <t>A03</t>
  </si>
  <si>
    <t>單出反射鏡</t>
  </si>
  <si>
    <t>A04</t>
  </si>
  <si>
    <t>單出遮光罩(板)</t>
  </si>
  <si>
    <t>A06</t>
  </si>
  <si>
    <t>單出飾框</t>
  </si>
  <si>
    <t>A08</t>
  </si>
  <si>
    <t>單出底座</t>
  </si>
  <si>
    <t>A09</t>
  </si>
  <si>
    <t>單出固定鐵</t>
  </si>
  <si>
    <t>A10</t>
  </si>
  <si>
    <t>單出線組</t>
  </si>
  <si>
    <t>A11</t>
  </si>
  <si>
    <t>大燈/頭燈</t>
  </si>
  <si>
    <t>A12</t>
  </si>
  <si>
    <t>大燈外框</t>
  </si>
  <si>
    <t>A13</t>
  </si>
  <si>
    <t>倒車燈/內尾燈</t>
  </si>
  <si>
    <t>A14</t>
  </si>
  <si>
    <t>邊燈/側邊燈</t>
  </si>
  <si>
    <t>A15</t>
  </si>
  <si>
    <t>角燈</t>
  </si>
  <si>
    <t>A16</t>
  </si>
  <si>
    <t>前小燈/ 晝行燈</t>
  </si>
  <si>
    <t>A17</t>
  </si>
  <si>
    <t>燈底座</t>
  </si>
  <si>
    <t>A19</t>
  </si>
  <si>
    <t>後燈/尾燈/外尾燈</t>
  </si>
  <si>
    <t>A20</t>
  </si>
  <si>
    <t>霧燈/前霧燈</t>
  </si>
  <si>
    <t>A21</t>
  </si>
  <si>
    <t>牌照燈</t>
  </si>
  <si>
    <t>A22</t>
  </si>
  <si>
    <t>超速燈</t>
  </si>
  <si>
    <t>A25</t>
  </si>
  <si>
    <t>護板(飾板)</t>
  </si>
  <si>
    <t>A26</t>
  </si>
  <si>
    <t>風扇</t>
  </si>
  <si>
    <t>A28</t>
  </si>
  <si>
    <t>彎角</t>
  </si>
  <si>
    <t>A29</t>
  </si>
  <si>
    <t>反光片/後飾板/反射器</t>
  </si>
  <si>
    <t>A30</t>
  </si>
  <si>
    <t>室內燈/裝飾燈</t>
  </si>
  <si>
    <t>A34</t>
  </si>
  <si>
    <t>第三煞車燈</t>
  </si>
  <si>
    <t>A36</t>
  </si>
  <si>
    <t>輔助水箱</t>
  </si>
  <si>
    <t>A37</t>
  </si>
  <si>
    <t>引擎室飾條</t>
  </si>
  <si>
    <t>A38</t>
  </si>
  <si>
    <t>腳踏板</t>
  </si>
  <si>
    <t>A40</t>
  </si>
  <si>
    <t>後霧燈</t>
  </si>
  <si>
    <t>A42</t>
  </si>
  <si>
    <t>禮儀燈/門燈</t>
  </si>
  <si>
    <t>A47</t>
  </si>
  <si>
    <t>單出玻璃燈殼</t>
  </si>
  <si>
    <t>A48</t>
  </si>
  <si>
    <t>單出馬達</t>
  </si>
  <si>
    <t>A49</t>
  </si>
  <si>
    <t>單出反光片</t>
  </si>
  <si>
    <t>A50</t>
  </si>
  <si>
    <t>單出內套片</t>
  </si>
  <si>
    <t>A51</t>
  </si>
  <si>
    <t>單出線路板</t>
  </si>
  <si>
    <t>A52</t>
  </si>
  <si>
    <t>單出飾板</t>
  </si>
  <si>
    <t>A55</t>
  </si>
  <si>
    <t>單出護蓋</t>
  </si>
  <si>
    <t>A57</t>
  </si>
  <si>
    <t>單出安定器</t>
  </si>
  <si>
    <t>A62</t>
  </si>
  <si>
    <t>單出凸透鏡</t>
  </si>
  <si>
    <t>A63</t>
  </si>
  <si>
    <t>單出燈泡座</t>
  </si>
  <si>
    <t>A90</t>
  </si>
  <si>
    <t>Non_Lamp AutoParts</t>
  </si>
  <si>
    <t>ABL</t>
  </si>
  <si>
    <t>單出燈泡</t>
  </si>
  <si>
    <t>ASP</t>
  </si>
  <si>
    <t>單出零件包</t>
  </si>
  <si>
    <t>D01</t>
  </si>
  <si>
    <t>D02</t>
  </si>
  <si>
    <t>橡膠類</t>
  </si>
  <si>
    <t>D03</t>
  </si>
  <si>
    <t>反射鏡,反射片</t>
  </si>
  <si>
    <t>D04</t>
  </si>
  <si>
    <t>隔光片,隔熱片,隔光罩</t>
  </si>
  <si>
    <t>D05</t>
  </si>
  <si>
    <t>插座,插頭</t>
  </si>
  <si>
    <t>D06</t>
  </si>
  <si>
    <t>外框</t>
  </si>
  <si>
    <t>D07</t>
  </si>
  <si>
    <t>鐵架,固定鐵</t>
  </si>
  <si>
    <t>D08</t>
  </si>
  <si>
    <t>底座,底座後蓋</t>
  </si>
  <si>
    <t>D09</t>
  </si>
  <si>
    <t>固定類(含油杯,鐵板,風葉盤,小鐵類)</t>
  </si>
  <si>
    <t>D10</t>
  </si>
  <si>
    <t>線組</t>
  </si>
  <si>
    <t>D11</t>
  </si>
  <si>
    <t>SOCKET類,燈泡座</t>
  </si>
  <si>
    <t>D12</t>
  </si>
  <si>
    <t>護板</t>
  </si>
  <si>
    <t>D13</t>
  </si>
  <si>
    <t>反光片</t>
  </si>
  <si>
    <t>D14</t>
  </si>
  <si>
    <t>玻璃料件,透鏡</t>
  </si>
  <si>
    <t>D15</t>
  </si>
  <si>
    <t>裝飾類</t>
  </si>
  <si>
    <t>D16</t>
  </si>
  <si>
    <t>內套片</t>
  </si>
  <si>
    <t>D17</t>
  </si>
  <si>
    <t>線路板</t>
  </si>
  <si>
    <t>D18</t>
  </si>
  <si>
    <t>彈簧、彈片</t>
  </si>
  <si>
    <t>D20</t>
  </si>
  <si>
    <t>內盒類</t>
  </si>
  <si>
    <t>D21</t>
  </si>
  <si>
    <t>外箱類</t>
  </si>
  <si>
    <t>D22</t>
  </si>
  <si>
    <t>紙板,氣泡袋</t>
  </si>
  <si>
    <t>D26</t>
  </si>
  <si>
    <t>通風板</t>
  </si>
  <si>
    <t>D27</t>
  </si>
  <si>
    <t>玻璃</t>
  </si>
  <si>
    <t>D30</t>
  </si>
  <si>
    <t>護蓋</t>
  </si>
  <si>
    <t>D31</t>
  </si>
  <si>
    <t>調整桿</t>
  </si>
  <si>
    <t>D32</t>
  </si>
  <si>
    <t>固定座</t>
  </si>
  <si>
    <t>D35</t>
  </si>
  <si>
    <t>端子</t>
  </si>
  <si>
    <t>D37</t>
  </si>
  <si>
    <t>齒輪</t>
  </si>
  <si>
    <t>D38</t>
  </si>
  <si>
    <t>繼電器</t>
  </si>
  <si>
    <t>D40</t>
  </si>
  <si>
    <t>標籤(說明書)</t>
  </si>
  <si>
    <t>D41</t>
  </si>
  <si>
    <t>碗仔,二極體</t>
  </si>
  <si>
    <t>D42</t>
  </si>
  <si>
    <t>保險絲</t>
  </si>
  <si>
    <t>D43</t>
  </si>
  <si>
    <t>開關</t>
  </si>
  <si>
    <t>D45</t>
  </si>
  <si>
    <t>防塵蓋,繼電器</t>
  </si>
  <si>
    <t>D46</t>
  </si>
  <si>
    <t>不織布</t>
  </si>
  <si>
    <t>D47</t>
  </si>
  <si>
    <t>D49</t>
  </si>
  <si>
    <t>電阻,假負載</t>
  </si>
  <si>
    <t>D51</t>
  </si>
  <si>
    <t>MARK</t>
  </si>
  <si>
    <t>D53</t>
  </si>
  <si>
    <t>水平儀</t>
  </si>
  <si>
    <t>D54</t>
  </si>
  <si>
    <t>馬達</t>
  </si>
  <si>
    <t>D57</t>
  </si>
  <si>
    <t>安定器</t>
  </si>
  <si>
    <t>D59</t>
  </si>
  <si>
    <t>電池閥</t>
  </si>
  <si>
    <t>D60</t>
  </si>
  <si>
    <t>蜂鳴器</t>
  </si>
  <si>
    <t>D61</t>
  </si>
  <si>
    <t>冷陰極管啟動器</t>
  </si>
  <si>
    <t>D63</t>
  </si>
  <si>
    <t>電感</t>
  </si>
  <si>
    <t>D65</t>
  </si>
  <si>
    <t>感應器</t>
  </si>
  <si>
    <t>D66</t>
  </si>
  <si>
    <t>高壓器</t>
  </si>
  <si>
    <t>D67</t>
  </si>
  <si>
    <t>磁鐵</t>
  </si>
  <si>
    <t>DAF</t>
  </si>
  <si>
    <t>自動轉向組</t>
  </si>
  <si>
    <t>DAL</t>
  </si>
  <si>
    <t>準成品</t>
  </si>
  <si>
    <t>DB</t>
  </si>
  <si>
    <t>塑膠粒</t>
  </si>
  <si>
    <t>DBL</t>
  </si>
  <si>
    <t>燈泡</t>
  </si>
  <si>
    <t>DE</t>
  </si>
  <si>
    <t>電子零件</t>
  </si>
  <si>
    <t>DFN</t>
  </si>
  <si>
    <t>鼓風扇</t>
  </si>
  <si>
    <t>DHF</t>
  </si>
  <si>
    <t>散熱片</t>
  </si>
  <si>
    <t>DLE</t>
  </si>
  <si>
    <t>LED燈泡</t>
  </si>
  <si>
    <t>DSP</t>
  </si>
  <si>
    <t>螺絲包</t>
  </si>
  <si>
    <t>DTG</t>
  </si>
  <si>
    <t>零件包</t>
  </si>
  <si>
    <t>DTM</t>
  </si>
  <si>
    <t>特殊螺絲</t>
  </si>
  <si>
    <t>H02</t>
  </si>
  <si>
    <t>H05</t>
  </si>
  <si>
    <t>插座.插頭</t>
  </si>
  <si>
    <t>H09</t>
  </si>
  <si>
    <t>固定鐵類</t>
  </si>
  <si>
    <t>H18</t>
  </si>
  <si>
    <t>彈簧.彈片</t>
  </si>
  <si>
    <t>H22</t>
  </si>
  <si>
    <t>泡綿</t>
  </si>
  <si>
    <t>H23</t>
  </si>
  <si>
    <t>氣泡袋(紙)</t>
  </si>
  <si>
    <t>H24</t>
  </si>
  <si>
    <t>保麗隆</t>
  </si>
  <si>
    <t>H25</t>
  </si>
  <si>
    <t>H28</t>
  </si>
  <si>
    <t>結合扣</t>
  </si>
  <si>
    <t>H30</t>
  </si>
  <si>
    <t>護蓋.防塵蓋</t>
  </si>
  <si>
    <t>H32</t>
  </si>
  <si>
    <t>固定塑膠類</t>
  </si>
  <si>
    <t>H35</t>
  </si>
  <si>
    <t>H36</t>
  </si>
  <si>
    <t>黑管</t>
  </si>
  <si>
    <t>H39</t>
  </si>
  <si>
    <t>塑膠袋</t>
  </si>
  <si>
    <t>H40</t>
  </si>
  <si>
    <t>H44</t>
  </si>
  <si>
    <t>電線</t>
  </si>
  <si>
    <t>H45</t>
  </si>
  <si>
    <t>防塵蓋</t>
  </si>
  <si>
    <t>H52</t>
  </si>
  <si>
    <t>雙面膠</t>
  </si>
  <si>
    <t>H58</t>
  </si>
  <si>
    <t>HDA</t>
  </si>
  <si>
    <t>乾燥劑</t>
  </si>
  <si>
    <t>HHP</t>
  </si>
  <si>
    <t>拉釘</t>
  </si>
  <si>
    <t>HNM</t>
  </si>
  <si>
    <t>專用螺帽</t>
  </si>
  <si>
    <t>HNW</t>
  </si>
  <si>
    <t>通用螺帽</t>
  </si>
  <si>
    <t>HPL</t>
  </si>
  <si>
    <t>棧板</t>
  </si>
  <si>
    <t>HQ</t>
  </si>
  <si>
    <t>雜項</t>
  </si>
  <si>
    <t>HRV</t>
  </si>
  <si>
    <t>鉚釘.空心筒</t>
  </si>
  <si>
    <t>HSA</t>
  </si>
  <si>
    <t>通用華司</t>
  </si>
  <si>
    <t>HSP</t>
  </si>
  <si>
    <t>零件包總成</t>
  </si>
  <si>
    <t>HSW</t>
  </si>
  <si>
    <t>專用華司</t>
  </si>
  <si>
    <t>HTA</t>
  </si>
  <si>
    <t>超音波釘</t>
  </si>
  <si>
    <t>HTG</t>
  </si>
  <si>
    <t>HTH</t>
  </si>
  <si>
    <t>一般螺絲</t>
  </si>
  <si>
    <t>HTM</t>
  </si>
  <si>
    <t>HTP</t>
  </si>
  <si>
    <t>自攻螺絲</t>
  </si>
  <si>
    <t>IC</t>
  </si>
  <si>
    <t>IC零件</t>
  </si>
  <si>
    <t>P00</t>
  </si>
  <si>
    <t>P11</t>
  </si>
  <si>
    <t>P12</t>
  </si>
  <si>
    <t>P13</t>
  </si>
  <si>
    <t>P14</t>
  </si>
  <si>
    <t>P15</t>
  </si>
  <si>
    <t>P16</t>
  </si>
  <si>
    <t>P17</t>
  </si>
  <si>
    <t>P19</t>
  </si>
  <si>
    <t>P20</t>
  </si>
  <si>
    <t>P25</t>
  </si>
  <si>
    <t>P28</t>
  </si>
  <si>
    <t>P29</t>
  </si>
  <si>
    <t>P34</t>
  </si>
  <si>
    <t>P38</t>
  </si>
  <si>
    <t>P40</t>
  </si>
  <si>
    <t>P54</t>
  </si>
  <si>
    <t>後視鏡</t>
  </si>
  <si>
    <t>P55</t>
  </si>
  <si>
    <t>車冷卻風扇</t>
  </si>
  <si>
    <t>P90</t>
  </si>
  <si>
    <t>S00</t>
  </si>
  <si>
    <t>服務性料號</t>
  </si>
  <si>
    <t>TS</t>
  </si>
  <si>
    <t>電晶體零件</t>
  </si>
  <si>
    <t>VR</t>
  </si>
  <si>
    <t>突波吸收器零件</t>
  </si>
  <si>
    <t>物料群組</t>
  </si>
  <si>
    <t>說明</t>
  </si>
  <si>
    <t>銷售數量</t>
  </si>
  <si>
    <t>銷退數量</t>
  </si>
  <si>
    <t>數量合計</t>
  </si>
  <si>
    <t>銷貨收入</t>
  </si>
  <si>
    <t>銷貨折讓</t>
  </si>
  <si>
    <t>銷貨退回</t>
  </si>
  <si>
    <t>銷貨淨額</t>
  </si>
  <si>
    <t>平均單價</t>
  </si>
  <si>
    <t>銷貨成本(標準)</t>
  </si>
  <si>
    <t>標準單價成本</t>
  </si>
  <si>
    <t>銷貨成本(實際)</t>
  </si>
  <si>
    <t>實際單位成本</t>
  </si>
  <si>
    <t>物料類別</t>
    <phoneticPr fontId="1" type="noConversion"/>
  </si>
  <si>
    <t>分群碼</t>
  </si>
  <si>
    <t>大類</t>
  </si>
  <si>
    <t>燈座</t>
  </si>
  <si>
    <t>百貨</t>
  </si>
  <si>
    <r>
      <rPr>
        <sz val="12"/>
        <rFont val="新細明體"/>
        <family val="1"/>
        <charset val="136"/>
      </rPr>
      <t>A0</t>
    </r>
    <r>
      <rPr>
        <sz val="12"/>
        <rFont val="新細明體"/>
        <family val="1"/>
        <charset val="136"/>
      </rPr>
      <t>6</t>
    </r>
  </si>
  <si>
    <t>大燈</t>
  </si>
  <si>
    <t>倒車燈</t>
  </si>
  <si>
    <t>邊燈</t>
  </si>
  <si>
    <t>前燈</t>
  </si>
  <si>
    <t>A18</t>
  </si>
  <si>
    <t>後燈</t>
  </si>
  <si>
    <t>霧燈</t>
  </si>
  <si>
    <t>其他燈</t>
  </si>
  <si>
    <t>A23</t>
  </si>
  <si>
    <t>A24</t>
  </si>
  <si>
    <t>A27</t>
  </si>
  <si>
    <t>A32</t>
  </si>
  <si>
    <t>A41</t>
  </si>
  <si>
    <t>P21</t>
  </si>
  <si>
    <t>P26</t>
  </si>
  <si>
    <t>P30</t>
  </si>
  <si>
    <t>P32</t>
  </si>
  <si>
    <r>
      <rPr>
        <sz val="12"/>
        <rFont val="新細明體"/>
        <family val="1"/>
        <charset val="136"/>
      </rPr>
      <t>P</t>
    </r>
    <r>
      <rPr>
        <sz val="12"/>
        <rFont val="新細明體"/>
        <family val="1"/>
        <charset val="136"/>
      </rPr>
      <t>40</t>
    </r>
  </si>
  <si>
    <t>P47</t>
  </si>
  <si>
    <t>P56</t>
  </si>
  <si>
    <t>原物料</t>
  </si>
  <si>
    <t>列標籤</t>
  </si>
  <si>
    <t>(空白)</t>
  </si>
  <si>
    <t>總計</t>
  </si>
  <si>
    <t>加總 - 銷售數量</t>
  </si>
  <si>
    <t>加總 - 銷退數量</t>
  </si>
  <si>
    <t>加總 - 數量合計</t>
  </si>
  <si>
    <t>加總 - 銷貨收入</t>
  </si>
  <si>
    <t>加總 - 銷貨折讓</t>
  </si>
  <si>
    <t>加總 - 銷貨退回</t>
  </si>
  <si>
    <t>加總 - 銷貨淨額</t>
  </si>
  <si>
    <t>加總 - 銷貨成本(實際)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</si>
</sst>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00"/>
    <numFmt numFmtId="177" formatCode="#,##0_ "/>
  </numFmts>
  <fonts count="4" x14ac:knownFonts="1">
    <font>
      <sz val="10"/>
      <name val="Arial"/>
    </font>
    <font>
      <sz val="10"/>
      <name val="Arial"/>
      <family val="2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7" fontId="2" fillId="0" borderId="0" xfId="1" applyNumberFormat="1" applyFont="1"/>
    <xf numFmtId="0" fontId="2" fillId="0" borderId="0" xfId="1" applyFont="1"/>
    <xf numFmtId="177" fontId="2" fillId="0" borderId="0" xfId="1" applyNumberFormat="1"/>
    <xf numFmtId="177" fontId="2" fillId="3" borderId="0" xfId="1" applyNumberFormat="1" applyFont="1" applyFill="1"/>
    <xf numFmtId="0" fontId="2" fillId="3" borderId="0" xfId="1" applyFont="1" applyFill="1"/>
    <xf numFmtId="0" fontId="0" fillId="4" borderId="0" xfId="0" applyFill="1" applyAlignment="1">
      <alignment vertical="top"/>
    </xf>
    <xf numFmtId="176" fontId="0" fillId="4" borderId="0" xfId="0" applyNumberFormat="1" applyFill="1" applyAlignment="1">
      <alignment horizontal="right" vertical="top"/>
    </xf>
    <xf numFmtId="4" fontId="0" fillId="4" borderId="0" xfId="0" applyNumberFormat="1" applyFill="1" applyAlignment="1">
      <alignment horizontal="right"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</cellXfs>
  <cellStyles count="2">
    <cellStyle name="一般" xfId="0" builtinId="0"/>
    <cellStyle name="一般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\Local%20Settings\Temporary%20Internet%20Files\Content.IE5\IKT32R51\&#23384;&#36008;&#26126;&#3204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XZONE向台灣進貨102Q1"/>
      <sheetName val="GIT 102Q1"/>
      <sheetName val="AP"/>
      <sheetName val="MAXZONE向台灣進貨101Q4"/>
      <sheetName val="GIT"/>
      <sheetName val="MAXZONE向台灣進貨"/>
      <sheetName val="GIT 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32.533387268515" createdVersion="6" refreshedVersion="6" minRefreshableVersion="3" recordCount="160">
  <cacheSource type="worksheet">
    <worksheetSource ref="A1:O1048576" sheet="原始檔"/>
  </cacheSource>
  <cacheFields count="15">
    <cacheField name="物料群組" numFmtId="0">
      <sharedItems containsBlank="1"/>
    </cacheField>
    <cacheField name="物料類別" numFmtId="0">
      <sharedItems containsBlank="1" count="13">
        <m/>
        <s v="燈座"/>
        <s v="百貨"/>
        <s v="大燈"/>
        <s v="倒車燈"/>
        <s v="邊燈"/>
        <s v="角燈"/>
        <s v="前燈"/>
        <s v="後燈"/>
        <s v="霧燈"/>
        <s v="牌照燈"/>
        <s v="其他燈"/>
        <s v="原物料"/>
      </sharedItems>
    </cacheField>
    <cacheField name="說明" numFmtId="0">
      <sharedItems containsBlank="1"/>
    </cacheField>
    <cacheField name="銷售數量" numFmtId="0">
      <sharedItems containsString="0" containsBlank="1" containsNumber="1" containsInteger="1" minValue="0" maxValue="1271548"/>
    </cacheField>
    <cacheField name="銷退數量" numFmtId="0">
      <sharedItems containsString="0" containsBlank="1" containsNumber="1" containsInteger="1" minValue="-1645" maxValue="0"/>
    </cacheField>
    <cacheField name="數量合計" numFmtId="0">
      <sharedItems containsString="0" containsBlank="1" containsNumber="1" containsInteger="1" minValue="0" maxValue="1269903"/>
    </cacheField>
    <cacheField name="銷貨收入" numFmtId="0">
      <sharedItems containsString="0" containsBlank="1" containsNumber="1" containsInteger="1" minValue="-1191" maxValue="2110041687"/>
    </cacheField>
    <cacheField name="銷貨折讓" numFmtId="0">
      <sharedItems containsString="0" containsBlank="1" containsNumber="1" containsInteger="1" minValue="-16354672" maxValue="0"/>
    </cacheField>
    <cacheField name="銷貨退回" numFmtId="0">
      <sharedItems containsString="0" containsBlank="1" containsNumber="1" containsInteger="1" minValue="-8577212" maxValue="252432"/>
    </cacheField>
    <cacheField name="銷貨淨額" numFmtId="0">
      <sharedItems containsString="0" containsBlank="1" containsNumber="1" containsInteger="1" minValue="-16355863" maxValue="2100488485"/>
    </cacheField>
    <cacheField name="平均單價" numFmtId="0">
      <sharedItems containsString="0" containsBlank="1" containsNumber="1" minValue="-137444.23000000001" maxValue="1654.05"/>
    </cacheField>
    <cacheField name="銷貨成本(標準)" numFmtId="0">
      <sharedItems containsString="0" containsBlank="1" containsNumber="1" containsInteger="1" minValue="-841188" maxValue="1405633740"/>
    </cacheField>
    <cacheField name="標準單價成本" numFmtId="0">
      <sharedItems containsString="0" containsBlank="1" containsNumber="1" minValue="-13177" maxValue="1263"/>
    </cacheField>
    <cacheField name="銷貨成本(實際)" numFmtId="0">
      <sharedItems containsString="0" containsBlank="1" containsNumber="1" containsInteger="1" minValue="0" maxValue="1407889885"/>
    </cacheField>
    <cacheField name="實際單位成本" numFmtId="0">
      <sharedItems containsString="0" containsBlank="1" containsNumber="1" minValue="0" maxValue="12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0">
  <r>
    <s v=""/>
    <x v="0"/>
    <s v=""/>
    <n v="0"/>
    <n v="0"/>
    <n v="0"/>
    <n v="4319802"/>
    <n v="0"/>
    <n v="252432"/>
    <n v="4572234"/>
    <n v="0"/>
    <n v="0"/>
    <n v="0"/>
    <n v="0"/>
    <n v="0"/>
  </r>
  <r>
    <s v="A00"/>
    <x v="1"/>
    <s v="燈殼"/>
    <n v="128158"/>
    <n v="-3"/>
    <n v="128155"/>
    <n v="9525252"/>
    <n v="-69"/>
    <n v="-47"/>
    <n v="9525136"/>
    <n v="74.33"/>
    <n v="12905360"/>
    <n v="100.7"/>
    <n v="12905837"/>
    <n v="100.7"/>
  </r>
  <r>
    <s v="A03"/>
    <x v="2"/>
    <s v="單出反射鏡"/>
    <n v="10304"/>
    <n v="0"/>
    <n v="10304"/>
    <n v="506418"/>
    <n v="0"/>
    <n v="0"/>
    <n v="506418"/>
    <n v="49.15"/>
    <n v="807887"/>
    <n v="78.41"/>
    <n v="807888"/>
    <n v="78.41"/>
  </r>
  <r>
    <s v="A04"/>
    <x v="2"/>
    <s v="單出遮光罩(板)"/>
    <n v="780"/>
    <n v="0"/>
    <n v="780"/>
    <n v="179950"/>
    <n v="0"/>
    <n v="0"/>
    <n v="179950"/>
    <n v="230.71"/>
    <n v="172179"/>
    <n v="220.74"/>
    <n v="172180"/>
    <n v="220.74"/>
  </r>
  <r>
    <s v="A06"/>
    <x v="2"/>
    <s v="單出飾框"/>
    <n v="6464"/>
    <n v="0"/>
    <n v="6464"/>
    <n v="650564"/>
    <n v="0"/>
    <n v="0"/>
    <n v="650564"/>
    <n v="100.64"/>
    <n v="1528457"/>
    <n v="236.46"/>
    <n v="1528458"/>
    <n v="236.46"/>
  </r>
  <r>
    <s v="A08"/>
    <x v="2"/>
    <s v="單出底座"/>
    <n v="10903"/>
    <n v="0"/>
    <n v="10903"/>
    <n v="615517"/>
    <n v="0"/>
    <n v="0"/>
    <n v="615517"/>
    <n v="56.45"/>
    <n v="645628"/>
    <n v="59.22"/>
    <n v="645627"/>
    <n v="59.22"/>
  </r>
  <r>
    <s v="A09"/>
    <x v="2"/>
    <s v="單出固定鐵"/>
    <n v="0"/>
    <n v="0"/>
    <n v="0"/>
    <n v="0"/>
    <n v="0"/>
    <n v="0"/>
    <n v="0"/>
    <n v="0"/>
    <n v="0"/>
    <n v="0"/>
    <n v="0"/>
    <n v="0"/>
  </r>
  <r>
    <s v="A10"/>
    <x v="2"/>
    <s v="單出線組"/>
    <n v="0"/>
    <n v="0"/>
    <n v="0"/>
    <n v="0"/>
    <n v="0"/>
    <n v="0"/>
    <n v="0"/>
    <n v="0"/>
    <n v="0"/>
    <n v="0"/>
    <n v="0"/>
    <n v="0"/>
  </r>
  <r>
    <s v="A11"/>
    <x v="3"/>
    <s v="大燈/頭燈"/>
    <n v="1271548"/>
    <n v="-1645"/>
    <n v="1269903"/>
    <n v="2110041687"/>
    <n v="-975990"/>
    <n v="-8577212"/>
    <n v="2100488485"/>
    <n v="1654.05"/>
    <n v="1405633740"/>
    <n v="1106.8800000000001"/>
    <n v="1407889885"/>
    <n v="1108.6600000000001"/>
  </r>
  <r>
    <s v="A12"/>
    <x v="1"/>
    <s v="大燈外框"/>
    <n v="6215"/>
    <n v="0"/>
    <n v="6215"/>
    <n v="1365528"/>
    <n v="0"/>
    <n v="0"/>
    <n v="1365528"/>
    <n v="219.71"/>
    <n v="598988"/>
    <n v="96.38"/>
    <n v="598984"/>
    <n v="96.38"/>
  </r>
  <r>
    <s v="A13"/>
    <x v="4"/>
    <s v="倒車燈/內尾燈"/>
    <n v="76028"/>
    <n v="-41"/>
    <n v="75987"/>
    <n v="50539772"/>
    <n v="-815"/>
    <n v="-45628"/>
    <n v="50493329"/>
    <n v="664.5"/>
    <n v="31128334"/>
    <n v="409.65"/>
    <n v="31179594"/>
    <n v="410.33"/>
  </r>
  <r>
    <s v="A14"/>
    <x v="5"/>
    <s v="邊燈/側邊燈"/>
    <n v="241730"/>
    <n v="-21"/>
    <n v="241709"/>
    <n v="27159979"/>
    <n v="-294"/>
    <n v="-3717"/>
    <n v="27155968"/>
    <n v="112.35"/>
    <n v="11815179"/>
    <n v="48.88"/>
    <n v="11818538"/>
    <n v="48.9"/>
  </r>
  <r>
    <s v="A15"/>
    <x v="6"/>
    <s v="角燈"/>
    <n v="398314"/>
    <n v="-27"/>
    <n v="398287"/>
    <n v="63768340"/>
    <n v="-837"/>
    <n v="-6883"/>
    <n v="63760620"/>
    <n v="160.09"/>
    <n v="38566847"/>
    <n v="96.83"/>
    <n v="38576159"/>
    <n v="96.86"/>
  </r>
  <r>
    <s v="A16"/>
    <x v="7"/>
    <s v="前小燈/ 晝行燈"/>
    <n v="206907"/>
    <n v="-24"/>
    <n v="206883"/>
    <n v="65166351"/>
    <n v="-2557"/>
    <n v="-31692"/>
    <n v="65132102"/>
    <n v="314.83"/>
    <n v="36272568"/>
    <n v="175.33"/>
    <n v="36412738"/>
    <n v="176.01"/>
  </r>
  <r>
    <s v="A17"/>
    <x v="1"/>
    <s v="燈底座"/>
    <n v="9202"/>
    <n v="0"/>
    <n v="9202"/>
    <n v="1228382"/>
    <n v="0"/>
    <n v="0"/>
    <n v="1228382"/>
    <n v="133.49"/>
    <n v="490131"/>
    <n v="53.26"/>
    <n v="490140"/>
    <n v="53.26"/>
  </r>
  <r>
    <s v="A19"/>
    <x v="8"/>
    <s v="後燈/尾燈/外尾燈"/>
    <n v="1082188"/>
    <n v="-285"/>
    <n v="1081903"/>
    <n v="738098612"/>
    <n v="-107339"/>
    <n v="-275523"/>
    <n v="737715750"/>
    <n v="681.87"/>
    <n v="444080686"/>
    <n v="410.46"/>
    <n v="444961996"/>
    <n v="411.28"/>
  </r>
  <r>
    <s v="A20"/>
    <x v="9"/>
    <s v="霧燈/前霧燈"/>
    <n v="230586"/>
    <n v="-24"/>
    <n v="230562"/>
    <n v="133481363"/>
    <n v="-3289"/>
    <n v="-34902"/>
    <n v="133443172"/>
    <n v="578.77"/>
    <n v="77610978"/>
    <n v="336.62"/>
    <n v="77702511"/>
    <n v="337.01"/>
  </r>
  <r>
    <s v="A21"/>
    <x v="10"/>
    <s v="牌照燈"/>
    <n v="90206"/>
    <n v="0"/>
    <n v="90206"/>
    <n v="5669271"/>
    <n v="0"/>
    <n v="0"/>
    <n v="5669271"/>
    <n v="62.85"/>
    <n v="4894832"/>
    <n v="54.26"/>
    <n v="4894848"/>
    <n v="54.26"/>
  </r>
  <r>
    <s v="A22"/>
    <x v="11"/>
    <s v="超速燈"/>
    <n v="80"/>
    <n v="0"/>
    <n v="80"/>
    <n v="12600"/>
    <n v="0"/>
    <n v="0"/>
    <n v="12600"/>
    <n v="157.5"/>
    <n v="4297"/>
    <n v="53.71"/>
    <n v="4297"/>
    <n v="53.71"/>
  </r>
  <r>
    <s v="A25"/>
    <x v="2"/>
    <s v="護板(飾板)"/>
    <n v="32794"/>
    <n v="-7"/>
    <n v="32787"/>
    <n v="5006327"/>
    <n v="0"/>
    <n v="-950"/>
    <n v="5005377"/>
    <n v="152.66"/>
    <n v="1651764"/>
    <n v="50.38"/>
    <n v="1653614"/>
    <n v="50.44"/>
  </r>
  <r>
    <s v="A26"/>
    <x v="2"/>
    <s v="風扇"/>
    <n v="200"/>
    <n v="0"/>
    <n v="200"/>
    <n v="23009"/>
    <n v="0"/>
    <n v="0"/>
    <n v="23009"/>
    <n v="115.05"/>
    <n v="9452"/>
    <n v="47.26"/>
    <n v="9452"/>
    <n v="47.26"/>
  </r>
  <r>
    <s v="A28"/>
    <x v="2"/>
    <s v="彎角"/>
    <n v="200"/>
    <n v="0"/>
    <n v="200"/>
    <n v="12359"/>
    <n v="0"/>
    <n v="0"/>
    <n v="12359"/>
    <n v="61.8"/>
    <n v="3963"/>
    <n v="19.82"/>
    <n v="3958"/>
    <n v="19.79"/>
  </r>
  <r>
    <s v="A29"/>
    <x v="2"/>
    <s v="反光片/後飾板/反射器"/>
    <n v="81776"/>
    <n v="-1"/>
    <n v="81775"/>
    <n v="18775111"/>
    <n v="0"/>
    <n v="-159"/>
    <n v="18774952"/>
    <n v="229.59"/>
    <n v="6885154"/>
    <n v="84.2"/>
    <n v="6887754"/>
    <n v="84.23"/>
  </r>
  <r>
    <s v="A30"/>
    <x v="11"/>
    <s v="室內燈/裝飾燈"/>
    <n v="380"/>
    <n v="0"/>
    <n v="380"/>
    <n v="131723"/>
    <n v="0"/>
    <n v="0"/>
    <n v="131723"/>
    <n v="346.64"/>
    <n v="220817"/>
    <n v="581.1"/>
    <n v="220818"/>
    <n v="581.1"/>
  </r>
  <r>
    <s v="A34"/>
    <x v="11"/>
    <s v="第三煞車燈"/>
    <n v="1626"/>
    <n v="0"/>
    <n v="1626"/>
    <n v="1042267"/>
    <n v="0"/>
    <n v="0"/>
    <n v="1042267"/>
    <n v="641"/>
    <n v="1153885"/>
    <n v="709.65"/>
    <n v="1153886"/>
    <n v="709.65"/>
  </r>
  <r>
    <s v="A36"/>
    <x v="2"/>
    <s v="輔助水箱"/>
    <n v="240"/>
    <n v="0"/>
    <n v="240"/>
    <n v="32808"/>
    <n v="0"/>
    <n v="0"/>
    <n v="32808"/>
    <n v="136.69999999999999"/>
    <n v="15594"/>
    <n v="64.98"/>
    <n v="15595"/>
    <n v="64.98"/>
  </r>
  <r>
    <s v="A37"/>
    <x v="2"/>
    <s v="引擎室飾條"/>
    <n v="103"/>
    <n v="0"/>
    <n v="103"/>
    <n v="8186"/>
    <n v="0"/>
    <n v="0"/>
    <n v="8186"/>
    <n v="79.48"/>
    <n v="6818"/>
    <n v="66.19"/>
    <n v="6818"/>
    <n v="66.19"/>
  </r>
  <r>
    <s v="A38"/>
    <x v="2"/>
    <s v="腳踏板"/>
    <n v="269"/>
    <n v="0"/>
    <n v="269"/>
    <n v="27389"/>
    <n v="0"/>
    <n v="0"/>
    <n v="27389"/>
    <n v="101.82"/>
    <n v="9430"/>
    <n v="35.06"/>
    <n v="9428"/>
    <n v="35.049999999999997"/>
  </r>
  <r>
    <s v="A40"/>
    <x v="2"/>
    <s v="後霧燈"/>
    <n v="30957"/>
    <n v="-2"/>
    <n v="30955"/>
    <n v="11194735"/>
    <n v="0"/>
    <n v="-3197"/>
    <n v="11191538"/>
    <n v="361.54"/>
    <n v="8891966"/>
    <n v="287.25"/>
    <n v="8895381"/>
    <n v="287.36"/>
  </r>
  <r>
    <s v="A42"/>
    <x v="2"/>
    <s v="禮儀燈/門燈"/>
    <n v="7757"/>
    <n v="0"/>
    <n v="7757"/>
    <n v="1941238"/>
    <n v="0"/>
    <n v="0"/>
    <n v="1941238"/>
    <n v="250.26"/>
    <n v="2620881"/>
    <n v="337.87"/>
    <n v="2620884"/>
    <n v="337.87"/>
  </r>
  <r>
    <s v="A47"/>
    <x v="2"/>
    <s v="單出玻璃燈殼"/>
    <n v="916"/>
    <n v="0"/>
    <n v="916"/>
    <n v="338275"/>
    <n v="0"/>
    <n v="0"/>
    <n v="338275"/>
    <n v="369.3"/>
    <n v="183023"/>
    <n v="199.81"/>
    <n v="183027"/>
    <n v="199.81"/>
  </r>
  <r>
    <s v="A48"/>
    <x v="2"/>
    <s v="單出馬達"/>
    <n v="0"/>
    <n v="0"/>
    <n v="0"/>
    <n v="0"/>
    <n v="0"/>
    <n v="0"/>
    <n v="0"/>
    <n v="0"/>
    <n v="0"/>
    <n v="0"/>
    <n v="0"/>
    <n v="0"/>
  </r>
  <r>
    <s v="A49"/>
    <x v="2"/>
    <s v="單出反光片"/>
    <n v="1600"/>
    <n v="0"/>
    <n v="1600"/>
    <n v="11069"/>
    <n v="0"/>
    <n v="0"/>
    <n v="11069"/>
    <n v="6.92"/>
    <n v="56026"/>
    <n v="35.020000000000003"/>
    <n v="56026"/>
    <n v="35.020000000000003"/>
  </r>
  <r>
    <s v="A50"/>
    <x v="2"/>
    <s v="單出內套片"/>
    <n v="30927"/>
    <n v="-125"/>
    <n v="30802"/>
    <n v="681166"/>
    <n v="0"/>
    <n v="-1810"/>
    <n v="679356"/>
    <n v="22.06"/>
    <n v="1828886"/>
    <n v="59.38"/>
    <n v="1828888"/>
    <n v="59.38"/>
  </r>
  <r>
    <s v="A51"/>
    <x v="2"/>
    <s v="單出線路板"/>
    <n v="4086"/>
    <n v="-1"/>
    <n v="4085"/>
    <n v="125464"/>
    <n v="0"/>
    <n v="-133"/>
    <n v="125331"/>
    <n v="30.68"/>
    <n v="111007"/>
    <n v="27.17"/>
    <n v="111006"/>
    <n v="27.17"/>
  </r>
  <r>
    <s v="A52"/>
    <x v="2"/>
    <s v="單出飾板"/>
    <n v="17325"/>
    <n v="0"/>
    <n v="17325"/>
    <n v="983197"/>
    <n v="0"/>
    <n v="0"/>
    <n v="983197"/>
    <n v="56.75"/>
    <n v="1303805"/>
    <n v="75.260000000000005"/>
    <n v="1303806"/>
    <n v="75.260000000000005"/>
  </r>
  <r>
    <s v="A55"/>
    <x v="2"/>
    <s v="單出護蓋"/>
    <n v="400"/>
    <n v="0"/>
    <n v="400"/>
    <n v="3824"/>
    <n v="0"/>
    <n v="0"/>
    <n v="3824"/>
    <n v="9.56"/>
    <n v="5235"/>
    <n v="13.09"/>
    <n v="5235"/>
    <n v="13.09"/>
  </r>
  <r>
    <s v="A57"/>
    <x v="2"/>
    <s v="單出安定器"/>
    <n v="0"/>
    <n v="0"/>
    <n v="0"/>
    <n v="0"/>
    <n v="0"/>
    <n v="0"/>
    <n v="0"/>
    <n v="0"/>
    <n v="0"/>
    <n v="0"/>
    <n v="0"/>
    <n v="0"/>
  </r>
  <r>
    <s v="A62"/>
    <x v="2"/>
    <s v="單出凸透鏡"/>
    <n v="1020"/>
    <n v="0"/>
    <n v="1020"/>
    <n v="225764"/>
    <n v="0"/>
    <n v="0"/>
    <n v="225764"/>
    <n v="221.34"/>
    <n v="315582"/>
    <n v="309.39"/>
    <n v="315582"/>
    <n v="309.39"/>
  </r>
  <r>
    <s v="A63"/>
    <x v="2"/>
    <s v="單出燈泡座"/>
    <n v="300"/>
    <n v="0"/>
    <n v="300"/>
    <n v="12038"/>
    <n v="0"/>
    <n v="0"/>
    <n v="12038"/>
    <n v="40.130000000000003"/>
    <n v="6555"/>
    <n v="21.85"/>
    <n v="6555"/>
    <n v="21.85"/>
  </r>
  <r>
    <s v="A90"/>
    <x v="2"/>
    <s v="Non_Lamp AutoParts"/>
    <n v="1936"/>
    <n v="0"/>
    <n v="1936"/>
    <n v="306278"/>
    <n v="0"/>
    <n v="0"/>
    <n v="306278"/>
    <n v="158.19999999999999"/>
    <n v="218655"/>
    <n v="112.94"/>
    <n v="218656"/>
    <n v="112.94"/>
  </r>
  <r>
    <s v="ABL"/>
    <x v="2"/>
    <s v="單出燈泡"/>
    <n v="0"/>
    <n v="0"/>
    <n v="0"/>
    <n v="0"/>
    <n v="0"/>
    <n v="0"/>
    <n v="0"/>
    <n v="0"/>
    <n v="0"/>
    <n v="0"/>
    <n v="0"/>
    <n v="0"/>
  </r>
  <r>
    <s v="ASP"/>
    <x v="2"/>
    <s v="單出零件包"/>
    <n v="400"/>
    <n v="0"/>
    <n v="400"/>
    <n v="409825"/>
    <n v="0"/>
    <n v="0"/>
    <n v="409825"/>
    <n v="1024.56"/>
    <n v="226431"/>
    <n v="566.08000000000004"/>
    <n v="226431"/>
    <n v="566.08000000000004"/>
  </r>
  <r>
    <s v="D01"/>
    <x v="12"/>
    <s v="燈殼"/>
    <n v="4878"/>
    <n v="0"/>
    <n v="4878"/>
    <n v="447865"/>
    <n v="0"/>
    <n v="0"/>
    <n v="447865"/>
    <n v="91.81"/>
    <n v="526097"/>
    <n v="107.85"/>
    <n v="831109"/>
    <n v="170.38"/>
  </r>
  <r>
    <s v="D02"/>
    <x v="12"/>
    <s v="橡膠類"/>
    <n v="1780"/>
    <n v="0"/>
    <n v="1780"/>
    <n v="9124"/>
    <n v="0"/>
    <n v="0"/>
    <n v="9124"/>
    <n v="5.13"/>
    <n v="-1331"/>
    <n v="-0.75"/>
    <n v="7142"/>
    <n v="4.01"/>
  </r>
  <r>
    <s v="D03"/>
    <x v="12"/>
    <s v="反射鏡,反射片"/>
    <n v="6429"/>
    <n v="0"/>
    <n v="6429"/>
    <n v="288417"/>
    <n v="0"/>
    <n v="0"/>
    <n v="288417"/>
    <n v="44.86"/>
    <n v="-33553"/>
    <n v="-5.22"/>
    <n v="246353"/>
    <n v="38.32"/>
  </r>
  <r>
    <s v="D04"/>
    <x v="12"/>
    <s v="隔光片,隔熱片,隔光罩"/>
    <n v="2030"/>
    <n v="0"/>
    <n v="2030"/>
    <n v="32191"/>
    <n v="0"/>
    <n v="0"/>
    <n v="32191"/>
    <n v="15.86"/>
    <n v="24197"/>
    <n v="11.92"/>
    <n v="25613"/>
    <n v="12.62"/>
  </r>
  <r>
    <s v="D05"/>
    <x v="12"/>
    <s v="插座,插頭"/>
    <n v="540"/>
    <n v="0"/>
    <n v="540"/>
    <n v="18528"/>
    <n v="0"/>
    <n v="0"/>
    <n v="18528"/>
    <n v="34.31"/>
    <n v="14518"/>
    <n v="26.89"/>
    <n v="14292"/>
    <n v="26.47"/>
  </r>
  <r>
    <s v="D06"/>
    <x v="12"/>
    <s v="外框"/>
    <n v="4641"/>
    <n v="0"/>
    <n v="4641"/>
    <n v="207886"/>
    <n v="0"/>
    <n v="0"/>
    <n v="207886"/>
    <n v="44.79"/>
    <n v="-841188"/>
    <n v="-181.25"/>
    <n v="209388"/>
    <n v="45.12"/>
  </r>
  <r>
    <s v="D07"/>
    <x v="12"/>
    <s v="鐵架,固定鐵"/>
    <n v="0"/>
    <n v="0"/>
    <n v="0"/>
    <n v="0"/>
    <n v="0"/>
    <n v="0"/>
    <n v="0"/>
    <n v="0"/>
    <n v="-464"/>
    <n v="0"/>
    <n v="0"/>
    <n v="0"/>
  </r>
  <r>
    <s v="D08"/>
    <x v="12"/>
    <s v="底座,底座後蓋"/>
    <n v="13700"/>
    <n v="0"/>
    <n v="13700"/>
    <n v="958134"/>
    <n v="0"/>
    <n v="0"/>
    <n v="958134"/>
    <n v="69.94"/>
    <n v="881563"/>
    <n v="64.349999999999994"/>
    <n v="838941"/>
    <n v="61.24"/>
  </r>
  <r>
    <s v="D09"/>
    <x v="12"/>
    <s v="固定類(含油杯,鐵板,風葉盤,小鐵類)"/>
    <n v="6904"/>
    <n v="0"/>
    <n v="6904"/>
    <n v="78919"/>
    <n v="0"/>
    <n v="0"/>
    <n v="78919"/>
    <n v="11.43"/>
    <n v="60123"/>
    <n v="8.7100000000000009"/>
    <n v="60313"/>
    <n v="8.74"/>
  </r>
  <r>
    <s v="D10"/>
    <x v="12"/>
    <s v="線組"/>
    <n v="2"/>
    <n v="0"/>
    <n v="2"/>
    <n v="100"/>
    <n v="0"/>
    <n v="0"/>
    <n v="100"/>
    <n v="50"/>
    <n v="-26354"/>
    <n v="-13177"/>
    <n v="50"/>
    <n v="25"/>
  </r>
  <r>
    <s v="D11"/>
    <x v="12"/>
    <s v="SOCKET類,燈泡座"/>
    <n v="6940"/>
    <n v="0"/>
    <n v="6940"/>
    <n v="74226"/>
    <n v="0"/>
    <n v="0"/>
    <n v="74226"/>
    <n v="10.7"/>
    <n v="58633"/>
    <n v="8.4499999999999993"/>
    <n v="57695"/>
    <n v="8.31"/>
  </r>
  <r>
    <s v="D12"/>
    <x v="12"/>
    <s v="護板"/>
    <n v="0"/>
    <n v="0"/>
    <n v="0"/>
    <n v="0"/>
    <n v="0"/>
    <n v="0"/>
    <n v="0"/>
    <n v="0"/>
    <n v="-14"/>
    <n v="0"/>
    <n v="0"/>
    <n v="0"/>
  </r>
  <r>
    <s v="D13"/>
    <x v="12"/>
    <s v="反光片"/>
    <n v="0"/>
    <n v="0"/>
    <n v="0"/>
    <n v="0"/>
    <n v="0"/>
    <n v="0"/>
    <n v="0"/>
    <n v="0"/>
    <n v="-58824"/>
    <n v="0"/>
    <n v="0"/>
    <n v="0"/>
  </r>
  <r>
    <s v="D14"/>
    <x v="12"/>
    <s v="玻璃料件,透鏡"/>
    <n v="0"/>
    <n v="0"/>
    <n v="0"/>
    <n v="0"/>
    <n v="0"/>
    <n v="0"/>
    <n v="0"/>
    <n v="0"/>
    <n v="-131543"/>
    <n v="0"/>
    <n v="0"/>
    <n v="0"/>
  </r>
  <r>
    <s v="D15"/>
    <x v="12"/>
    <s v="裝飾類"/>
    <n v="1446"/>
    <n v="0"/>
    <n v="1446"/>
    <n v="78088"/>
    <n v="0"/>
    <n v="0"/>
    <n v="78088"/>
    <n v="54"/>
    <n v="13556"/>
    <n v="9.3699999999999992"/>
    <n v="65978"/>
    <n v="45.63"/>
  </r>
  <r>
    <s v="D16"/>
    <x v="12"/>
    <s v="內套片"/>
    <n v="4510"/>
    <n v="0"/>
    <n v="4510"/>
    <n v="32524"/>
    <n v="0"/>
    <n v="0"/>
    <n v="32524"/>
    <n v="7.21"/>
    <n v="-79870"/>
    <n v="-17.71"/>
    <n v="55616"/>
    <n v="12.33"/>
  </r>
  <r>
    <s v="D17"/>
    <x v="12"/>
    <s v="線路板"/>
    <n v="603"/>
    <n v="-1"/>
    <n v="602"/>
    <n v="18174"/>
    <n v="0"/>
    <n v="-50"/>
    <n v="18124"/>
    <n v="30.11"/>
    <n v="-92319"/>
    <n v="-153.35"/>
    <n v="13822"/>
    <n v="22.96"/>
  </r>
  <r>
    <s v="D18"/>
    <x v="12"/>
    <s v="彈簧、彈片"/>
    <n v="0"/>
    <n v="0"/>
    <n v="0"/>
    <n v="0"/>
    <n v="0"/>
    <n v="0"/>
    <n v="0"/>
    <n v="0"/>
    <n v="0"/>
    <n v="0"/>
    <n v="0"/>
    <n v="0"/>
  </r>
  <r>
    <s v="D20"/>
    <x v="12"/>
    <s v="內盒類"/>
    <n v="0"/>
    <n v="0"/>
    <n v="0"/>
    <n v="0"/>
    <n v="0"/>
    <n v="0"/>
    <n v="0"/>
    <n v="0"/>
    <n v="-88997"/>
    <n v="0"/>
    <n v="0"/>
    <n v="0"/>
  </r>
  <r>
    <s v="D21"/>
    <x v="12"/>
    <s v="外箱類"/>
    <n v="0"/>
    <n v="0"/>
    <n v="0"/>
    <n v="0"/>
    <n v="0"/>
    <n v="0"/>
    <n v="0"/>
    <n v="0"/>
    <n v="-79779"/>
    <n v="0"/>
    <n v="0"/>
    <n v="0"/>
  </r>
  <r>
    <s v="D22"/>
    <x v="12"/>
    <s v="紙板,氣泡袋"/>
    <n v="0"/>
    <n v="0"/>
    <n v="0"/>
    <n v="0"/>
    <n v="0"/>
    <n v="0"/>
    <n v="0"/>
    <n v="0"/>
    <n v="-124948"/>
    <n v="0"/>
    <n v="0"/>
    <n v="0"/>
  </r>
  <r>
    <s v="D26"/>
    <x v="12"/>
    <s v="通風板"/>
    <n v="0"/>
    <n v="0"/>
    <n v="0"/>
    <n v="0"/>
    <n v="0"/>
    <n v="0"/>
    <n v="0"/>
    <n v="0"/>
    <n v="0"/>
    <n v="0"/>
    <n v="0"/>
    <n v="0"/>
  </r>
  <r>
    <s v="D27"/>
    <x v="12"/>
    <s v="玻璃"/>
    <n v="0"/>
    <n v="0"/>
    <n v="0"/>
    <n v="0"/>
    <n v="0"/>
    <n v="0"/>
    <n v="0"/>
    <n v="0"/>
    <n v="-2143"/>
    <n v="0"/>
    <n v="0"/>
    <n v="0"/>
  </r>
  <r>
    <s v="D30"/>
    <x v="12"/>
    <s v="護蓋"/>
    <n v="14783"/>
    <n v="0"/>
    <n v="14783"/>
    <n v="149747"/>
    <n v="0"/>
    <n v="0"/>
    <n v="149747"/>
    <n v="10.130000000000001"/>
    <n v="113688"/>
    <n v="7.69"/>
    <n v="113503"/>
    <n v="7.68"/>
  </r>
  <r>
    <s v="D31"/>
    <x v="12"/>
    <s v="調整桿"/>
    <n v="300"/>
    <n v="0"/>
    <n v="300"/>
    <n v="15758"/>
    <n v="0"/>
    <n v="0"/>
    <n v="15758"/>
    <n v="52.53"/>
    <n v="11657"/>
    <n v="38.86"/>
    <n v="11854"/>
    <n v="39.51"/>
  </r>
  <r>
    <s v="D32"/>
    <x v="12"/>
    <s v="固定座"/>
    <n v="45872"/>
    <n v="0"/>
    <n v="45872"/>
    <n v="202003"/>
    <n v="0"/>
    <n v="0"/>
    <n v="202003"/>
    <n v="4.4000000000000004"/>
    <n v="164850"/>
    <n v="3.59"/>
    <n v="174842"/>
    <n v="3.81"/>
  </r>
  <r>
    <s v="D35"/>
    <x v="12"/>
    <s v="端子"/>
    <n v="0"/>
    <n v="0"/>
    <n v="0"/>
    <n v="0"/>
    <n v="0"/>
    <n v="0"/>
    <n v="0"/>
    <n v="0"/>
    <n v="-2"/>
    <n v="0"/>
    <n v="0"/>
    <n v="0"/>
  </r>
  <r>
    <s v="D37"/>
    <x v="12"/>
    <s v="齒輪"/>
    <n v="17200"/>
    <n v="0"/>
    <n v="17200"/>
    <n v="18333"/>
    <n v="0"/>
    <n v="0"/>
    <n v="18333"/>
    <n v="1.07"/>
    <n v="15507"/>
    <n v="0.9"/>
    <n v="15529"/>
    <n v="0.9"/>
  </r>
  <r>
    <s v="D38"/>
    <x v="12"/>
    <s v="繼電器"/>
    <n v="0"/>
    <n v="0"/>
    <n v="0"/>
    <n v="0"/>
    <n v="0"/>
    <n v="0"/>
    <n v="0"/>
    <n v="0"/>
    <n v="-1"/>
    <n v="0"/>
    <n v="0"/>
    <n v="0"/>
  </r>
  <r>
    <s v="D40"/>
    <x v="12"/>
    <s v="標籤(說明書)"/>
    <n v="0"/>
    <n v="0"/>
    <n v="0"/>
    <n v="0"/>
    <n v="0"/>
    <n v="0"/>
    <n v="0"/>
    <n v="0"/>
    <n v="0"/>
    <n v="0"/>
    <n v="0"/>
    <n v="0"/>
  </r>
  <r>
    <s v="D41"/>
    <x v="12"/>
    <s v="碗仔,二極體"/>
    <n v="0"/>
    <n v="0"/>
    <n v="0"/>
    <n v="0"/>
    <n v="0"/>
    <n v="0"/>
    <n v="0"/>
    <n v="0"/>
    <n v="-164"/>
    <n v="0"/>
    <n v="0"/>
    <n v="0"/>
  </r>
  <r>
    <s v="D42"/>
    <x v="12"/>
    <s v="保險絲"/>
    <n v="0"/>
    <n v="0"/>
    <n v="0"/>
    <n v="0"/>
    <n v="0"/>
    <n v="0"/>
    <n v="0"/>
    <n v="0"/>
    <n v="-190"/>
    <n v="0"/>
    <n v="0"/>
    <n v="0"/>
  </r>
  <r>
    <s v="D43"/>
    <x v="12"/>
    <s v="開關"/>
    <n v="0"/>
    <n v="0"/>
    <n v="0"/>
    <n v="0"/>
    <n v="0"/>
    <n v="0"/>
    <n v="0"/>
    <n v="0"/>
    <n v="0"/>
    <n v="0"/>
    <n v="0"/>
    <n v="0"/>
  </r>
  <r>
    <s v="D45"/>
    <x v="12"/>
    <s v="防塵蓋,繼電器"/>
    <n v="0"/>
    <n v="0"/>
    <n v="0"/>
    <n v="0"/>
    <n v="0"/>
    <n v="0"/>
    <n v="0"/>
    <n v="0"/>
    <n v="-385"/>
    <n v="0"/>
    <n v="0"/>
    <n v="0"/>
  </r>
  <r>
    <s v="D46"/>
    <x v="12"/>
    <s v="不織布"/>
    <n v="0"/>
    <n v="0"/>
    <n v="0"/>
    <n v="0"/>
    <n v="0"/>
    <n v="0"/>
    <n v="0"/>
    <n v="0"/>
    <n v="-126"/>
    <n v="0"/>
    <n v="0"/>
    <n v="0"/>
  </r>
  <r>
    <s v="D47"/>
    <x v="12"/>
    <s v="玻璃"/>
    <n v="0"/>
    <n v="0"/>
    <n v="0"/>
    <n v="0"/>
    <n v="0"/>
    <n v="0"/>
    <n v="0"/>
    <n v="0"/>
    <n v="0"/>
    <n v="0"/>
    <n v="0"/>
    <n v="0"/>
  </r>
  <r>
    <s v="D49"/>
    <x v="12"/>
    <s v="電阻,假負載"/>
    <n v="0"/>
    <n v="0"/>
    <n v="0"/>
    <n v="0"/>
    <n v="0"/>
    <n v="0"/>
    <n v="0"/>
    <n v="0"/>
    <n v="-14"/>
    <n v="0"/>
    <n v="0"/>
    <n v="0"/>
  </r>
  <r>
    <s v="D51"/>
    <x v="12"/>
    <s v="MARK"/>
    <n v="0"/>
    <n v="0"/>
    <n v="0"/>
    <n v="0"/>
    <n v="0"/>
    <n v="0"/>
    <n v="0"/>
    <n v="0"/>
    <n v="0"/>
    <n v="0"/>
    <n v="0"/>
    <n v="0"/>
  </r>
  <r>
    <s v="D53"/>
    <x v="12"/>
    <s v="水平儀"/>
    <n v="0"/>
    <n v="0"/>
    <n v="0"/>
    <n v="0"/>
    <n v="0"/>
    <n v="0"/>
    <n v="0"/>
    <n v="0"/>
    <n v="0"/>
    <n v="0"/>
    <n v="0"/>
    <n v="0"/>
  </r>
  <r>
    <s v="D54"/>
    <x v="12"/>
    <s v="馬達"/>
    <n v="1050"/>
    <n v="-10"/>
    <n v="1040"/>
    <n v="751068"/>
    <n v="0"/>
    <n v="-1550"/>
    <n v="749518"/>
    <n v="720.69"/>
    <n v="574707"/>
    <n v="552.6"/>
    <n v="576169"/>
    <n v="554.01"/>
  </r>
  <r>
    <s v="D57"/>
    <x v="12"/>
    <s v="安定器"/>
    <n v="0"/>
    <n v="0"/>
    <n v="0"/>
    <n v="0"/>
    <n v="0"/>
    <n v="0"/>
    <n v="0"/>
    <n v="0"/>
    <n v="147"/>
    <n v="0"/>
    <n v="0"/>
    <n v="0"/>
  </r>
  <r>
    <s v="D59"/>
    <x v="12"/>
    <s v="電池閥"/>
    <n v="0"/>
    <n v="0"/>
    <n v="0"/>
    <n v="0"/>
    <n v="0"/>
    <n v="0"/>
    <n v="0"/>
    <n v="0"/>
    <n v="-5"/>
    <n v="0"/>
    <n v="0"/>
    <n v="0"/>
  </r>
  <r>
    <s v="D60"/>
    <x v="12"/>
    <s v="蜂鳴器"/>
    <n v="0"/>
    <n v="0"/>
    <n v="0"/>
    <n v="0"/>
    <n v="0"/>
    <n v="0"/>
    <n v="0"/>
    <n v="0"/>
    <n v="0"/>
    <n v="0"/>
    <n v="0"/>
    <n v="0"/>
  </r>
  <r>
    <s v="D61"/>
    <x v="12"/>
    <s v="冷陰極管啟動器"/>
    <n v="0"/>
    <n v="0"/>
    <n v="0"/>
    <n v="0"/>
    <n v="0"/>
    <n v="0"/>
    <n v="0"/>
    <n v="0"/>
    <n v="505"/>
    <n v="0"/>
    <n v="0"/>
    <n v="0"/>
  </r>
  <r>
    <s v="D63"/>
    <x v="12"/>
    <s v="電感"/>
    <n v="0"/>
    <n v="0"/>
    <n v="0"/>
    <n v="0"/>
    <n v="0"/>
    <n v="0"/>
    <n v="0"/>
    <n v="0"/>
    <n v="0"/>
    <n v="0"/>
    <n v="0"/>
    <n v="0"/>
  </r>
  <r>
    <s v="D65"/>
    <x v="12"/>
    <s v="感應器"/>
    <n v="0"/>
    <n v="0"/>
    <n v="0"/>
    <n v="0"/>
    <n v="0"/>
    <n v="0"/>
    <n v="0"/>
    <n v="0"/>
    <n v="0"/>
    <n v="0"/>
    <n v="0"/>
    <n v="0"/>
  </r>
  <r>
    <s v="D66"/>
    <x v="12"/>
    <s v="高壓器"/>
    <n v="0"/>
    <n v="0"/>
    <n v="0"/>
    <n v="0"/>
    <n v="0"/>
    <n v="0"/>
    <n v="0"/>
    <n v="0"/>
    <n v="0"/>
    <n v="0"/>
    <n v="0"/>
    <n v="0"/>
  </r>
  <r>
    <s v="D67"/>
    <x v="12"/>
    <s v="磁鐵"/>
    <n v="0"/>
    <n v="0"/>
    <n v="0"/>
    <n v="0"/>
    <n v="0"/>
    <n v="0"/>
    <n v="0"/>
    <n v="0"/>
    <n v="0"/>
    <n v="0"/>
    <n v="0"/>
    <n v="0"/>
  </r>
  <r>
    <s v="DAF"/>
    <x v="12"/>
    <s v="自動轉向組"/>
    <n v="0"/>
    <n v="0"/>
    <n v="0"/>
    <n v="0"/>
    <n v="0"/>
    <n v="0"/>
    <n v="0"/>
    <n v="0"/>
    <n v="-352"/>
    <n v="0"/>
    <n v="0"/>
    <n v="0"/>
  </r>
  <r>
    <s v="DAL"/>
    <x v="12"/>
    <s v="準成品"/>
    <n v="0"/>
    <n v="0"/>
    <n v="0"/>
    <n v="0"/>
    <n v="0"/>
    <n v="0"/>
    <n v="0"/>
    <n v="0"/>
    <n v="-6171"/>
    <n v="0"/>
    <n v="0"/>
    <n v="0"/>
  </r>
  <r>
    <s v="DB"/>
    <x v="12"/>
    <s v="塑膠粒"/>
    <n v="15300"/>
    <n v="0"/>
    <n v="15300"/>
    <n v="914615"/>
    <n v="0"/>
    <n v="0"/>
    <n v="914615"/>
    <n v="59.78"/>
    <n v="680543"/>
    <n v="44.48"/>
    <n v="615697"/>
    <n v="40.24"/>
  </r>
  <r>
    <s v="DBL"/>
    <x v="12"/>
    <s v="燈泡"/>
    <n v="11007"/>
    <n v="0"/>
    <n v="11007"/>
    <n v="22609"/>
    <n v="0"/>
    <n v="0"/>
    <n v="22609"/>
    <n v="2.0499999999999998"/>
    <n v="54220"/>
    <n v="4.93"/>
    <n v="10217"/>
    <n v="0.93"/>
  </r>
  <r>
    <s v="DE"/>
    <x v="12"/>
    <s v="電子零件"/>
    <n v="0"/>
    <n v="0"/>
    <n v="0"/>
    <n v="0"/>
    <n v="0"/>
    <n v="0"/>
    <n v="0"/>
    <n v="0"/>
    <n v="0"/>
    <n v="0"/>
    <n v="0"/>
    <n v="0"/>
  </r>
  <r>
    <s v="DFN"/>
    <x v="12"/>
    <s v="鼓風扇"/>
    <n v="0"/>
    <n v="0"/>
    <n v="0"/>
    <n v="0"/>
    <n v="0"/>
    <n v="0"/>
    <n v="0"/>
    <n v="0"/>
    <n v="-151"/>
    <n v="0"/>
    <n v="0"/>
    <n v="0"/>
  </r>
  <r>
    <s v="DHF"/>
    <x v="12"/>
    <s v="散熱片"/>
    <n v="6450"/>
    <n v="0"/>
    <n v="6450"/>
    <n v="259375"/>
    <n v="0"/>
    <n v="0"/>
    <n v="259375"/>
    <n v="40.21"/>
    <n v="202852"/>
    <n v="31.45"/>
    <n v="204991"/>
    <n v="31.78"/>
  </r>
  <r>
    <s v="DLE"/>
    <x v="12"/>
    <s v="LED燈泡"/>
    <n v="0"/>
    <n v="0"/>
    <n v="0"/>
    <n v="0"/>
    <n v="0"/>
    <n v="0"/>
    <n v="0"/>
    <n v="0"/>
    <n v="-7483"/>
    <n v="0"/>
    <n v="0"/>
    <n v="0"/>
  </r>
  <r>
    <s v="DSP"/>
    <x v="12"/>
    <s v="螺絲包"/>
    <n v="20"/>
    <n v="0"/>
    <n v="20"/>
    <n v="1486"/>
    <n v="0"/>
    <n v="0"/>
    <n v="1486"/>
    <n v="74.3"/>
    <n v="221"/>
    <n v="11.05"/>
    <n v="221"/>
    <n v="11.05"/>
  </r>
  <r>
    <s v="DTG"/>
    <x v="12"/>
    <s v="零件包"/>
    <n v="0"/>
    <n v="0"/>
    <n v="0"/>
    <n v="0"/>
    <n v="0"/>
    <n v="0"/>
    <n v="0"/>
    <n v="0"/>
    <n v="0"/>
    <n v="0"/>
    <n v="0"/>
    <n v="0"/>
  </r>
  <r>
    <s v="DTM"/>
    <x v="12"/>
    <s v="特殊螺絲"/>
    <n v="1100"/>
    <n v="0"/>
    <n v="1100"/>
    <n v="7420"/>
    <n v="0"/>
    <n v="0"/>
    <n v="7420"/>
    <n v="6.75"/>
    <n v="6022"/>
    <n v="5.47"/>
    <n v="5974"/>
    <n v="5.43"/>
  </r>
  <r>
    <s v="H02"/>
    <x v="2"/>
    <s v="橡膠類"/>
    <n v="3200"/>
    <n v="0"/>
    <n v="3200"/>
    <n v="33869"/>
    <n v="0"/>
    <n v="0"/>
    <n v="33869"/>
    <n v="10.58"/>
    <n v="25380"/>
    <n v="7.93"/>
    <n v="26261"/>
    <n v="8.2100000000000009"/>
  </r>
  <r>
    <s v="H05"/>
    <x v="2"/>
    <s v="插座.插頭"/>
    <n v="2700"/>
    <n v="0"/>
    <n v="2700"/>
    <n v="7335"/>
    <n v="0"/>
    <n v="0"/>
    <n v="7335"/>
    <n v="2.72"/>
    <n v="6214"/>
    <n v="2.2999999999999998"/>
    <n v="6219"/>
    <n v="2.2999999999999998"/>
  </r>
  <r>
    <s v="H09"/>
    <x v="2"/>
    <s v="固定鐵類"/>
    <n v="19900"/>
    <n v="0"/>
    <n v="19900"/>
    <n v="79650"/>
    <n v="0"/>
    <n v="0"/>
    <n v="79650"/>
    <n v="4"/>
    <n v="61627"/>
    <n v="3.1"/>
    <n v="61686"/>
    <n v="3.1"/>
  </r>
  <r>
    <s v="H18"/>
    <x v="2"/>
    <s v="彈簧.彈片"/>
    <n v="1400"/>
    <n v="0"/>
    <n v="1400"/>
    <n v="2645"/>
    <n v="0"/>
    <n v="0"/>
    <n v="2645"/>
    <n v="1.89"/>
    <n v="1760"/>
    <n v="1.26"/>
    <n v="2100"/>
    <n v="1.5"/>
  </r>
  <r>
    <s v="H22"/>
    <x v="2"/>
    <s v="泡綿"/>
    <n v="0"/>
    <n v="0"/>
    <n v="0"/>
    <n v="0"/>
    <n v="0"/>
    <n v="0"/>
    <n v="0"/>
    <n v="0"/>
    <n v="-5621"/>
    <n v="0"/>
    <n v="0"/>
    <n v="0"/>
  </r>
  <r>
    <s v="H23"/>
    <x v="2"/>
    <s v="氣泡袋(紙)"/>
    <n v="0"/>
    <n v="0"/>
    <n v="0"/>
    <n v="0"/>
    <n v="0"/>
    <n v="0"/>
    <n v="0"/>
    <n v="0"/>
    <n v="-33730"/>
    <n v="0"/>
    <n v="0"/>
    <n v="0"/>
  </r>
  <r>
    <s v="H24"/>
    <x v="2"/>
    <s v="保麗隆"/>
    <n v="0"/>
    <n v="0"/>
    <n v="0"/>
    <n v="0"/>
    <n v="0"/>
    <n v="0"/>
    <n v="0"/>
    <n v="0"/>
    <n v="-2909"/>
    <n v="0"/>
    <n v="0"/>
    <n v="0"/>
  </r>
  <r>
    <s v="H25"/>
    <x v="2"/>
    <s v="通風板"/>
    <n v="0"/>
    <n v="0"/>
    <n v="0"/>
    <n v="0"/>
    <n v="0"/>
    <n v="0"/>
    <n v="0"/>
    <n v="0"/>
    <n v="-404"/>
    <n v="0"/>
    <n v="0"/>
    <n v="0"/>
  </r>
  <r>
    <s v="H28"/>
    <x v="2"/>
    <s v="結合扣"/>
    <n v="0"/>
    <n v="0"/>
    <n v="0"/>
    <n v="0"/>
    <n v="0"/>
    <n v="0"/>
    <n v="0"/>
    <n v="0"/>
    <n v="-52"/>
    <n v="0"/>
    <n v="0"/>
    <n v="0"/>
  </r>
  <r>
    <s v="H30"/>
    <x v="2"/>
    <s v="護蓋.防塵蓋"/>
    <n v="1000"/>
    <n v="0"/>
    <n v="1000"/>
    <n v="2802"/>
    <n v="0"/>
    <n v="0"/>
    <n v="2802"/>
    <n v="2.8"/>
    <n v="2509"/>
    <n v="2.5099999999999998"/>
    <n v="2509"/>
    <n v="2.5099999999999998"/>
  </r>
  <r>
    <s v="H32"/>
    <x v="2"/>
    <s v="固定塑膠類"/>
    <n v="59317"/>
    <n v="0"/>
    <n v="59317"/>
    <n v="65693"/>
    <n v="0"/>
    <n v="0"/>
    <n v="65693"/>
    <n v="1.1100000000000001"/>
    <n v="61073"/>
    <n v="1.03"/>
    <n v="61176"/>
    <n v="1.03"/>
  </r>
  <r>
    <s v="H35"/>
    <x v="2"/>
    <s v="端子"/>
    <n v="14000"/>
    <n v="0"/>
    <n v="14000"/>
    <n v="51014"/>
    <n v="0"/>
    <n v="0"/>
    <n v="51014"/>
    <n v="3.64"/>
    <n v="39817"/>
    <n v="2.84"/>
    <n v="39380"/>
    <n v="2.81"/>
  </r>
  <r>
    <s v="H36"/>
    <x v="2"/>
    <s v="黑管"/>
    <n v="0"/>
    <n v="0"/>
    <n v="0"/>
    <n v="0"/>
    <n v="0"/>
    <n v="0"/>
    <n v="0"/>
    <n v="0"/>
    <n v="-1628"/>
    <n v="0"/>
    <n v="0"/>
    <n v="0"/>
  </r>
  <r>
    <s v="H39"/>
    <x v="2"/>
    <s v="塑膠袋"/>
    <n v="0"/>
    <n v="0"/>
    <n v="0"/>
    <n v="0"/>
    <n v="0"/>
    <n v="0"/>
    <n v="0"/>
    <n v="0"/>
    <n v="75768"/>
    <n v="0"/>
    <n v="0"/>
    <n v="0"/>
  </r>
  <r>
    <s v="H40"/>
    <x v="2"/>
    <s v="標籤(說明書)"/>
    <n v="0"/>
    <n v="0"/>
    <n v="0"/>
    <n v="0"/>
    <n v="0"/>
    <n v="0"/>
    <n v="0"/>
    <n v="0"/>
    <n v="419214"/>
    <n v="0"/>
    <n v="0"/>
    <n v="0"/>
  </r>
  <r>
    <s v="H44"/>
    <x v="2"/>
    <s v="電線"/>
    <n v="0"/>
    <n v="0"/>
    <n v="0"/>
    <n v="0"/>
    <n v="0"/>
    <n v="0"/>
    <n v="0"/>
    <n v="0"/>
    <n v="0"/>
    <n v="0"/>
    <n v="0"/>
    <n v="0"/>
  </r>
  <r>
    <s v="H45"/>
    <x v="2"/>
    <s v="防塵蓋"/>
    <n v="0"/>
    <n v="0"/>
    <n v="0"/>
    <n v="0"/>
    <n v="0"/>
    <n v="0"/>
    <n v="0"/>
    <n v="0"/>
    <n v="-88"/>
    <n v="0"/>
    <n v="0"/>
    <n v="0"/>
  </r>
  <r>
    <s v="H52"/>
    <x v="2"/>
    <s v="雙面膠"/>
    <n v="0"/>
    <n v="0"/>
    <n v="0"/>
    <n v="0"/>
    <n v="0"/>
    <n v="0"/>
    <n v="0"/>
    <n v="0"/>
    <n v="0"/>
    <n v="0"/>
    <n v="0"/>
    <n v="0"/>
  </r>
  <r>
    <s v="H58"/>
    <x v="2"/>
    <s v="保險絲"/>
    <n v="0"/>
    <n v="0"/>
    <n v="0"/>
    <n v="0"/>
    <n v="0"/>
    <n v="0"/>
    <n v="0"/>
    <n v="0"/>
    <n v="0"/>
    <n v="0"/>
    <n v="0"/>
    <n v="0"/>
  </r>
  <r>
    <s v="HDA"/>
    <x v="2"/>
    <s v="乾燥劑"/>
    <n v="0"/>
    <n v="0"/>
    <n v="0"/>
    <n v="0"/>
    <n v="0"/>
    <n v="0"/>
    <n v="0"/>
    <n v="0"/>
    <n v="-1"/>
    <n v="0"/>
    <n v="0"/>
    <n v="0"/>
  </r>
  <r>
    <s v="HHP"/>
    <x v="2"/>
    <s v="拉釘"/>
    <n v="0"/>
    <n v="0"/>
    <n v="0"/>
    <n v="0"/>
    <n v="0"/>
    <n v="0"/>
    <n v="0"/>
    <n v="0"/>
    <n v="0"/>
    <n v="0"/>
    <n v="0"/>
    <n v="0"/>
  </r>
  <r>
    <s v="HNM"/>
    <x v="2"/>
    <s v="專用螺帽"/>
    <n v="0"/>
    <n v="0"/>
    <n v="0"/>
    <n v="0"/>
    <n v="0"/>
    <n v="0"/>
    <n v="0"/>
    <n v="0"/>
    <n v="-155"/>
    <n v="0"/>
    <n v="0"/>
    <n v="0"/>
  </r>
  <r>
    <s v="HNW"/>
    <x v="2"/>
    <s v="通用螺帽"/>
    <n v="0"/>
    <n v="0"/>
    <n v="0"/>
    <n v="0"/>
    <n v="0"/>
    <n v="0"/>
    <n v="0"/>
    <n v="0"/>
    <n v="0"/>
    <n v="0"/>
    <n v="0"/>
    <n v="0"/>
  </r>
  <r>
    <s v="HPL"/>
    <x v="2"/>
    <s v="棧板"/>
    <n v="0"/>
    <n v="0"/>
    <n v="0"/>
    <n v="0"/>
    <n v="0"/>
    <n v="0"/>
    <n v="0"/>
    <n v="0"/>
    <n v="0"/>
    <n v="0"/>
    <n v="0"/>
    <n v="0"/>
  </r>
  <r>
    <s v="HQ"/>
    <x v="2"/>
    <s v="雜項"/>
    <n v="0"/>
    <n v="0"/>
    <n v="0"/>
    <n v="0"/>
    <n v="0"/>
    <n v="0"/>
    <n v="0"/>
    <n v="0"/>
    <n v="-339544"/>
    <n v="0"/>
    <n v="0"/>
    <n v="0"/>
  </r>
  <r>
    <s v="HRV"/>
    <x v="2"/>
    <s v="鉚釘.空心筒"/>
    <n v="0"/>
    <n v="0"/>
    <n v="0"/>
    <n v="0"/>
    <n v="0"/>
    <n v="0"/>
    <n v="0"/>
    <n v="0"/>
    <n v="0"/>
    <n v="0"/>
    <n v="0"/>
    <n v="0"/>
  </r>
  <r>
    <s v="HSA"/>
    <x v="2"/>
    <s v="通用華司"/>
    <n v="0"/>
    <n v="0"/>
    <n v="0"/>
    <n v="0"/>
    <n v="0"/>
    <n v="0"/>
    <n v="0"/>
    <n v="0"/>
    <n v="304"/>
    <n v="0"/>
    <n v="0"/>
    <n v="0"/>
  </r>
  <r>
    <s v="HSP"/>
    <x v="2"/>
    <s v="零件包總成"/>
    <n v="0"/>
    <n v="0"/>
    <n v="0"/>
    <n v="0"/>
    <n v="0"/>
    <n v="0"/>
    <n v="0"/>
    <n v="0"/>
    <n v="0"/>
    <n v="0"/>
    <n v="0"/>
    <n v="0"/>
  </r>
  <r>
    <s v="HSW"/>
    <x v="2"/>
    <s v="專用華司"/>
    <n v="0"/>
    <n v="0"/>
    <n v="0"/>
    <n v="0"/>
    <n v="0"/>
    <n v="0"/>
    <n v="0"/>
    <n v="0"/>
    <n v="-174"/>
    <n v="0"/>
    <n v="0"/>
    <n v="0"/>
  </r>
  <r>
    <s v="HTA"/>
    <x v="2"/>
    <s v="超音波釘"/>
    <n v="0"/>
    <n v="0"/>
    <n v="0"/>
    <n v="0"/>
    <n v="0"/>
    <n v="0"/>
    <n v="0"/>
    <n v="0"/>
    <n v="0"/>
    <n v="0"/>
    <n v="0"/>
    <n v="0"/>
  </r>
  <r>
    <s v="HTG"/>
    <x v="2"/>
    <s v="零件包"/>
    <n v="0"/>
    <n v="0"/>
    <n v="0"/>
    <n v="0"/>
    <n v="0"/>
    <n v="0"/>
    <n v="0"/>
    <n v="0"/>
    <n v="-17"/>
    <n v="0"/>
    <n v="0"/>
    <n v="0"/>
  </r>
  <r>
    <s v="HTH"/>
    <x v="2"/>
    <s v="一般螺絲"/>
    <n v="0"/>
    <n v="0"/>
    <n v="0"/>
    <n v="0"/>
    <n v="0"/>
    <n v="0"/>
    <n v="0"/>
    <n v="0"/>
    <n v="375"/>
    <n v="0"/>
    <n v="0"/>
    <n v="0"/>
  </r>
  <r>
    <s v="HTM"/>
    <x v="2"/>
    <s v="特殊螺絲"/>
    <n v="12500"/>
    <n v="0"/>
    <n v="12500"/>
    <n v="29284"/>
    <n v="0"/>
    <n v="0"/>
    <n v="29284"/>
    <n v="2.34"/>
    <n v="21425"/>
    <n v="1.71"/>
    <n v="24346"/>
    <n v="1.95"/>
  </r>
  <r>
    <s v="HTP"/>
    <x v="2"/>
    <s v="自攻螺絲"/>
    <n v="0"/>
    <n v="0"/>
    <n v="0"/>
    <n v="0"/>
    <n v="0"/>
    <n v="0"/>
    <n v="0"/>
    <n v="0"/>
    <n v="1514"/>
    <n v="0"/>
    <n v="0"/>
    <n v="0"/>
  </r>
  <r>
    <s v="IC"/>
    <x v="2"/>
    <s v="IC零件"/>
    <n v="0"/>
    <n v="0"/>
    <n v="0"/>
    <n v="0"/>
    <n v="0"/>
    <n v="0"/>
    <n v="0"/>
    <n v="0"/>
    <n v="121"/>
    <n v="0"/>
    <n v="0"/>
    <n v="0"/>
  </r>
  <r>
    <s v="P00"/>
    <x v="1"/>
    <s v="燈殼"/>
    <n v="906"/>
    <n v="0"/>
    <n v="906"/>
    <n v="55727"/>
    <n v="0"/>
    <n v="0"/>
    <n v="55727"/>
    <n v="61.51"/>
    <n v="30356"/>
    <n v="33.51"/>
    <n v="30356"/>
    <n v="33.51"/>
  </r>
  <r>
    <s v="P11"/>
    <x v="3"/>
    <s v="大燈/頭燈"/>
    <n v="46025"/>
    <n v="-373"/>
    <n v="45652"/>
    <n v="60288960"/>
    <n v="-73316"/>
    <n v="-682285"/>
    <n v="59533359"/>
    <n v="1304.07"/>
    <n v="33831321"/>
    <n v="741.07"/>
    <n v="33956209"/>
    <n v="743.81"/>
  </r>
  <r>
    <s v="P12"/>
    <x v="1"/>
    <s v="大燈外框"/>
    <n v="95"/>
    <n v="0"/>
    <n v="95"/>
    <n v="37265"/>
    <n v="0"/>
    <n v="0"/>
    <n v="37265"/>
    <n v="392.26"/>
    <n v="22800"/>
    <n v="240"/>
    <n v="22800"/>
    <n v="240"/>
  </r>
  <r>
    <s v="P13"/>
    <x v="4"/>
    <s v="倒車燈/內尾燈"/>
    <n v="3553"/>
    <n v="-2"/>
    <n v="3551"/>
    <n v="2858543"/>
    <n v="-784"/>
    <n v="-2603"/>
    <n v="2855156"/>
    <n v="804.04"/>
    <n v="1272139"/>
    <n v="358.25"/>
    <n v="1268193"/>
    <n v="357.14"/>
  </r>
  <r>
    <s v="P14"/>
    <x v="5"/>
    <s v="邊燈/側邊燈"/>
    <n v="2150"/>
    <n v="0"/>
    <n v="2150"/>
    <n v="172600"/>
    <n v="0"/>
    <n v="0"/>
    <n v="172600"/>
    <n v="80.28"/>
    <n v="70600"/>
    <n v="32.840000000000003"/>
    <n v="70597"/>
    <n v="32.840000000000003"/>
  </r>
  <r>
    <s v="P15"/>
    <x v="6"/>
    <s v="角燈"/>
    <n v="3250"/>
    <n v="0"/>
    <n v="3250"/>
    <n v="845050"/>
    <n v="0"/>
    <n v="0"/>
    <n v="845050"/>
    <n v="260.02"/>
    <n v="273942"/>
    <n v="84.29"/>
    <n v="267901"/>
    <n v="82.43"/>
  </r>
  <r>
    <s v="P16"/>
    <x v="7"/>
    <s v="前小燈/ 晝行燈"/>
    <n v="764"/>
    <n v="0"/>
    <n v="764"/>
    <n v="89007"/>
    <n v="0"/>
    <n v="0"/>
    <n v="89007"/>
    <n v="116.5"/>
    <n v="56904"/>
    <n v="74.48"/>
    <n v="56905"/>
    <n v="74.48"/>
  </r>
  <r>
    <s v="P17"/>
    <x v="1"/>
    <s v="燈底座"/>
    <n v="160"/>
    <n v="0"/>
    <n v="160"/>
    <n v="38780"/>
    <n v="0"/>
    <n v="0"/>
    <n v="38780"/>
    <n v="242.38"/>
    <n v="25600"/>
    <n v="160"/>
    <n v="25600"/>
    <n v="160"/>
  </r>
  <r>
    <s v="P19"/>
    <x v="8"/>
    <s v="後燈/尾燈/外尾燈"/>
    <n v="31884"/>
    <n v="-6"/>
    <n v="31878"/>
    <n v="29101630"/>
    <n v="-2393"/>
    <n v="-5630"/>
    <n v="29093607"/>
    <n v="912.65"/>
    <n v="14838227"/>
    <n v="465.47"/>
    <n v="14725793"/>
    <n v="461.94"/>
  </r>
  <r>
    <s v="P20"/>
    <x v="9"/>
    <s v="霧燈/前霧燈"/>
    <n v="1009"/>
    <n v="0"/>
    <n v="1009"/>
    <n v="350175"/>
    <n v="0"/>
    <n v="0"/>
    <n v="350175"/>
    <n v="347.05"/>
    <n v="157868"/>
    <n v="156.46"/>
    <n v="157867"/>
    <n v="156.46"/>
  </r>
  <r>
    <s v="P25"/>
    <x v="2"/>
    <s v="護板(飾板)"/>
    <n v="20"/>
    <n v="0"/>
    <n v="20"/>
    <n v="2426"/>
    <n v="0"/>
    <n v="0"/>
    <n v="2426"/>
    <n v="121.3"/>
    <n v="1200"/>
    <n v="60"/>
    <n v="1200"/>
    <n v="60"/>
  </r>
  <r>
    <s v="P28"/>
    <x v="2"/>
    <s v="彎角"/>
    <n v="740"/>
    <n v="0"/>
    <n v="740"/>
    <n v="83369"/>
    <n v="0"/>
    <n v="0"/>
    <n v="83369"/>
    <n v="112.66"/>
    <n v="46792"/>
    <n v="63.23"/>
    <n v="46792"/>
    <n v="63.23"/>
  </r>
  <r>
    <s v="P29"/>
    <x v="2"/>
    <s v="反光片/後飾板/反射器"/>
    <n v="270"/>
    <n v="0"/>
    <n v="270"/>
    <n v="65683"/>
    <n v="0"/>
    <n v="0"/>
    <n v="65683"/>
    <n v="243.27"/>
    <n v="17157"/>
    <n v="63.54"/>
    <n v="17159"/>
    <n v="63.55"/>
  </r>
  <r>
    <s v="P34"/>
    <x v="11"/>
    <s v="第三煞車燈"/>
    <n v="1100"/>
    <n v="0"/>
    <n v="1100"/>
    <n v="502640"/>
    <n v="0"/>
    <n v="0"/>
    <n v="502640"/>
    <n v="456.95"/>
    <n v="217510"/>
    <n v="197.74"/>
    <n v="217511"/>
    <n v="197.74"/>
  </r>
  <r>
    <s v="P38"/>
    <x v="2"/>
    <s v="腳踏板"/>
    <n v="160"/>
    <n v="0"/>
    <n v="160"/>
    <n v="26316"/>
    <n v="0"/>
    <n v="0"/>
    <n v="26316"/>
    <n v="164.48"/>
    <n v="14400"/>
    <n v="90"/>
    <n v="14400"/>
    <n v="90"/>
  </r>
  <r>
    <s v="P40"/>
    <x v="2"/>
    <s v="後霧燈"/>
    <n v="4275"/>
    <n v="-3"/>
    <n v="4272"/>
    <n v="2292129"/>
    <n v="0"/>
    <n v="-458"/>
    <n v="2291671"/>
    <n v="536.44000000000005"/>
    <n v="585761"/>
    <n v="137.12"/>
    <n v="582970"/>
    <n v="136.46"/>
  </r>
  <r>
    <s v="P54"/>
    <x v="2"/>
    <s v="後視鏡"/>
    <n v="2965"/>
    <n v="0"/>
    <n v="2965"/>
    <n v="1373554"/>
    <n v="0"/>
    <n v="0"/>
    <n v="1373554"/>
    <n v="463.26"/>
    <n v="1301611"/>
    <n v="438.99"/>
    <n v="1301611"/>
    <n v="438.99"/>
  </r>
  <r>
    <s v="P55"/>
    <x v="2"/>
    <s v="車冷卻風扇"/>
    <n v="100"/>
    <n v="0"/>
    <n v="100"/>
    <n v="134774"/>
    <n v="0"/>
    <n v="0"/>
    <n v="134774"/>
    <n v="1347.74"/>
    <n v="126300"/>
    <n v="1263"/>
    <n v="126300"/>
    <n v="1263"/>
  </r>
  <r>
    <s v="P90"/>
    <x v="2"/>
    <s v="Non_Lamp AutoParts"/>
    <n v="150"/>
    <n v="0"/>
    <n v="150"/>
    <n v="110890"/>
    <n v="0"/>
    <n v="0"/>
    <n v="110890"/>
    <n v="739.27"/>
    <n v="66010"/>
    <n v="440.07"/>
    <n v="66010"/>
    <n v="440.07"/>
  </r>
  <r>
    <s v="S00"/>
    <x v="2"/>
    <s v="服務性料號"/>
    <n v="119"/>
    <n v="0"/>
    <n v="119"/>
    <n v="-1191"/>
    <n v="-16354672"/>
    <n v="0"/>
    <n v="-16355863"/>
    <n v="-137444.23000000001"/>
    <n v="0"/>
    <n v="0"/>
    <n v="0"/>
    <n v="0"/>
  </r>
  <r>
    <s v="TS"/>
    <x v="2"/>
    <s v="電晶體零件"/>
    <n v="0"/>
    <n v="0"/>
    <n v="0"/>
    <n v="0"/>
    <n v="0"/>
    <n v="0"/>
    <n v="0"/>
    <n v="0"/>
    <n v="0"/>
    <n v="0"/>
    <n v="0"/>
    <n v="0"/>
  </r>
  <r>
    <s v="VR"/>
    <x v="2"/>
    <s v="突波吸收器零件"/>
    <n v="0"/>
    <n v="0"/>
    <n v="0"/>
    <n v="0"/>
    <n v="0"/>
    <n v="0"/>
    <n v="0"/>
    <n v="0"/>
    <n v="0"/>
    <n v="0"/>
    <n v="0"/>
    <n v="0"/>
  </r>
  <r>
    <m/>
    <x v="0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2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3:I17" firstHeaderRow="0" firstDataRow="1" firstDataCol="1"/>
  <pivotFields count="15">
    <pivotField showAll="0"/>
    <pivotField axis="axisRow" showAll="0">
      <items count="14">
        <item x="3"/>
        <item x="2"/>
        <item x="6"/>
        <item x="11"/>
        <item x="7"/>
        <item x="8"/>
        <item x="4"/>
        <item x="12"/>
        <item x="10"/>
        <item x="1"/>
        <item x="5"/>
        <item x="9"/>
        <item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加總 - 銷售數量" fld="3" baseField="1" baseItem="0"/>
    <dataField name="加總 - 銷退數量" fld="4" baseField="1" baseItem="0"/>
    <dataField name="加總 - 數量合計" fld="5" baseField="1" baseItem="0"/>
    <dataField name="加總 - 銷貨收入" fld="6" baseField="1" baseItem="0"/>
    <dataField name="加總 - 銷貨折讓" fld="7" baseField="1" baseItem="0"/>
    <dataField name="加總 - 銷貨退回" fld="8" baseField="1" baseItem="0"/>
    <dataField name="加總 - 銷貨淨額" fld="9" baseField="1" baseItem="0"/>
    <dataField name="加總 - 銷貨成本(實際)" fld="13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tabSelected="1" topLeftCell="A34" workbookViewId="0">
      <selection activeCell="E39" sqref="E39"/>
    </sheetView>
  </sheetViews>
  <sheetFormatPr defaultRowHeight="12.75" x14ac:dyDescent="0.2"/>
  <cols>
    <col min="1" max="1" width="6" bestFit="1" customWidth="1"/>
    <col min="2" max="2" width="6" customWidth="1"/>
    <col min="3" max="3" width="21" bestFit="1" customWidth="1"/>
    <col min="4" max="4" width="13" bestFit="1" customWidth="1"/>
    <col min="5" max="5" width="11" bestFit="1" customWidth="1"/>
    <col min="6" max="6" width="13" bestFit="1" customWidth="1"/>
    <col min="7" max="7" width="15" bestFit="1" customWidth="1"/>
    <col min="8" max="8" width="14" bestFit="1" customWidth="1"/>
    <col min="9" max="9" width="13" bestFit="1" customWidth="1"/>
    <col min="10" max="10" width="15" bestFit="1" customWidth="1"/>
    <col min="11" max="11" width="12" bestFit="1" customWidth="1"/>
    <col min="12" max="12" width="15" bestFit="1" customWidth="1"/>
    <col min="13" max="13" width="11" bestFit="1" customWidth="1"/>
    <col min="14" max="14" width="15" bestFit="1" customWidth="1"/>
    <col min="15" max="15" width="9" bestFit="1" customWidth="1"/>
  </cols>
  <sheetData>
    <row r="1" spans="1:15" x14ac:dyDescent="0.2">
      <c r="A1" s="1" t="s">
        <v>291</v>
      </c>
      <c r="B1" s="1" t="s">
        <v>305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303</v>
      </c>
      <c r="O1" s="1" t="s">
        <v>304</v>
      </c>
    </row>
    <row r="2" spans="1:15" x14ac:dyDescent="0.2">
      <c r="A2" t="s">
        <v>0</v>
      </c>
      <c r="C2" t="s">
        <v>0</v>
      </c>
      <c r="D2" s="2">
        <v>0</v>
      </c>
      <c r="E2" s="2">
        <v>0</v>
      </c>
      <c r="F2" s="2">
        <v>0</v>
      </c>
      <c r="G2" s="3">
        <v>4319802</v>
      </c>
      <c r="H2" s="3">
        <v>0</v>
      </c>
      <c r="I2" s="3">
        <v>252432</v>
      </c>
      <c r="J2" s="3">
        <v>4572234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x14ac:dyDescent="0.2">
      <c r="A3" t="s">
        <v>1</v>
      </c>
      <c r="B3" t="str">
        <f>VLOOKUP(A3,分群碼名稱!A:B,2)</f>
        <v>燈座</v>
      </c>
      <c r="C3" t="s">
        <v>2</v>
      </c>
      <c r="D3" s="2">
        <v>128158</v>
      </c>
      <c r="E3" s="2">
        <v>-3</v>
      </c>
      <c r="F3" s="2">
        <v>128155</v>
      </c>
      <c r="G3" s="3">
        <v>9525252</v>
      </c>
      <c r="H3" s="3">
        <v>-69</v>
      </c>
      <c r="I3" s="3">
        <v>-47</v>
      </c>
      <c r="J3" s="3">
        <v>9525136</v>
      </c>
      <c r="K3" s="3">
        <v>74.33</v>
      </c>
      <c r="L3" s="3">
        <v>12905360</v>
      </c>
      <c r="M3" s="3">
        <v>100.7</v>
      </c>
      <c r="N3" s="3">
        <v>12905837</v>
      </c>
      <c r="O3" s="3">
        <v>100.7</v>
      </c>
    </row>
    <row r="4" spans="1:15" x14ac:dyDescent="0.2">
      <c r="A4" t="s">
        <v>3</v>
      </c>
      <c r="B4" t="str">
        <f>VLOOKUP(A4,分群碼名稱!A:B,2)</f>
        <v>百貨</v>
      </c>
      <c r="C4" t="s">
        <v>4</v>
      </c>
      <c r="D4" s="2">
        <v>10304</v>
      </c>
      <c r="E4" s="2">
        <v>0</v>
      </c>
      <c r="F4" s="2">
        <v>10304</v>
      </c>
      <c r="G4" s="3">
        <v>506418</v>
      </c>
      <c r="H4" s="3">
        <v>0</v>
      </c>
      <c r="I4" s="3">
        <v>0</v>
      </c>
      <c r="J4" s="3">
        <v>506418</v>
      </c>
      <c r="K4" s="3">
        <v>49.15</v>
      </c>
      <c r="L4" s="3">
        <v>807887</v>
      </c>
      <c r="M4" s="3">
        <v>78.41</v>
      </c>
      <c r="N4" s="3">
        <v>807888</v>
      </c>
      <c r="O4" s="3">
        <v>78.41</v>
      </c>
    </row>
    <row r="5" spans="1:15" x14ac:dyDescent="0.2">
      <c r="A5" t="s">
        <v>5</v>
      </c>
      <c r="B5" t="str">
        <f>VLOOKUP(A5,分群碼名稱!A:B,2)</f>
        <v>百貨</v>
      </c>
      <c r="C5" t="s">
        <v>6</v>
      </c>
      <c r="D5" s="2">
        <v>780</v>
      </c>
      <c r="E5" s="2">
        <v>0</v>
      </c>
      <c r="F5" s="2">
        <v>780</v>
      </c>
      <c r="G5" s="3">
        <v>179950</v>
      </c>
      <c r="H5" s="3">
        <v>0</v>
      </c>
      <c r="I5" s="3">
        <v>0</v>
      </c>
      <c r="J5" s="3">
        <v>179950</v>
      </c>
      <c r="K5" s="3">
        <v>230.71</v>
      </c>
      <c r="L5" s="3">
        <v>172179</v>
      </c>
      <c r="M5" s="3">
        <v>220.74</v>
      </c>
      <c r="N5" s="3">
        <v>172180</v>
      </c>
      <c r="O5" s="3">
        <v>220.74</v>
      </c>
    </row>
    <row r="6" spans="1:15" x14ac:dyDescent="0.2">
      <c r="A6" t="s">
        <v>7</v>
      </c>
      <c r="B6" t="str">
        <f>VLOOKUP(A6,分群碼名稱!A:B,2)</f>
        <v>百貨</v>
      </c>
      <c r="C6" t="s">
        <v>8</v>
      </c>
      <c r="D6" s="2">
        <v>6464</v>
      </c>
      <c r="E6" s="2">
        <v>0</v>
      </c>
      <c r="F6" s="2">
        <v>6464</v>
      </c>
      <c r="G6" s="3">
        <v>650564</v>
      </c>
      <c r="H6" s="3">
        <v>0</v>
      </c>
      <c r="I6" s="3">
        <v>0</v>
      </c>
      <c r="J6" s="3">
        <v>650564</v>
      </c>
      <c r="K6" s="3">
        <v>100.64</v>
      </c>
      <c r="L6" s="3">
        <v>1528457</v>
      </c>
      <c r="M6" s="3">
        <v>236.46</v>
      </c>
      <c r="N6" s="3">
        <v>1528458</v>
      </c>
      <c r="O6" s="3">
        <v>236.46</v>
      </c>
    </row>
    <row r="7" spans="1:15" x14ac:dyDescent="0.2">
      <c r="A7" t="s">
        <v>9</v>
      </c>
      <c r="B7" t="str">
        <f>VLOOKUP(A7,分群碼名稱!A:B,2)</f>
        <v>百貨</v>
      </c>
      <c r="C7" t="s">
        <v>10</v>
      </c>
      <c r="D7" s="2">
        <v>10903</v>
      </c>
      <c r="E7" s="2">
        <v>0</v>
      </c>
      <c r="F7" s="2">
        <v>10903</v>
      </c>
      <c r="G7" s="3">
        <v>615517</v>
      </c>
      <c r="H7" s="3">
        <v>0</v>
      </c>
      <c r="I7" s="3">
        <v>0</v>
      </c>
      <c r="J7" s="3">
        <v>615517</v>
      </c>
      <c r="K7" s="3">
        <v>56.45</v>
      </c>
      <c r="L7" s="3">
        <v>645628</v>
      </c>
      <c r="M7" s="3">
        <v>59.22</v>
      </c>
      <c r="N7" s="3">
        <v>645627</v>
      </c>
      <c r="O7" s="3">
        <v>59.22</v>
      </c>
    </row>
    <row r="8" spans="1:15" x14ac:dyDescent="0.2">
      <c r="A8" t="s">
        <v>11</v>
      </c>
      <c r="B8" t="str">
        <f>VLOOKUP(A8,分群碼名稱!A:B,2)</f>
        <v>百貨</v>
      </c>
      <c r="C8" t="s">
        <v>12</v>
      </c>
      <c r="D8" s="2">
        <v>0</v>
      </c>
      <c r="E8" s="2">
        <v>0</v>
      </c>
      <c r="F8" s="2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A9" t="s">
        <v>13</v>
      </c>
      <c r="B9" t="str">
        <f>VLOOKUP(A9,分群碼名稱!A:B,2)</f>
        <v>百貨</v>
      </c>
      <c r="C9" t="s">
        <v>14</v>
      </c>
      <c r="D9" s="2">
        <v>0</v>
      </c>
      <c r="E9" s="2">
        <v>0</v>
      </c>
      <c r="F9" s="2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</row>
    <row r="10" spans="1:15" x14ac:dyDescent="0.2">
      <c r="A10" t="s">
        <v>15</v>
      </c>
      <c r="B10" t="str">
        <f>VLOOKUP(A10,分群碼名稱!A:B,2)</f>
        <v>大燈</v>
      </c>
      <c r="C10" t="s">
        <v>16</v>
      </c>
      <c r="D10" s="2">
        <v>1271548</v>
      </c>
      <c r="E10" s="2">
        <v>-1645</v>
      </c>
      <c r="F10" s="2">
        <v>1269903</v>
      </c>
      <c r="G10" s="3">
        <v>2110041687</v>
      </c>
      <c r="H10" s="3">
        <v>-975990</v>
      </c>
      <c r="I10" s="3">
        <v>-8577212</v>
      </c>
      <c r="J10" s="3">
        <v>2100488485</v>
      </c>
      <c r="K10" s="3">
        <v>1654.05</v>
      </c>
      <c r="L10" s="3">
        <v>1405633740</v>
      </c>
      <c r="M10" s="3">
        <v>1106.8800000000001</v>
      </c>
      <c r="N10" s="3">
        <v>1407889885</v>
      </c>
      <c r="O10" s="3">
        <v>1108.6600000000001</v>
      </c>
    </row>
    <row r="11" spans="1:15" x14ac:dyDescent="0.2">
      <c r="A11" t="s">
        <v>17</v>
      </c>
      <c r="B11" t="str">
        <f>VLOOKUP(A11,分群碼名稱!A:B,2)</f>
        <v>燈座</v>
      </c>
      <c r="C11" t="s">
        <v>18</v>
      </c>
      <c r="D11" s="2">
        <v>6215</v>
      </c>
      <c r="E11" s="2">
        <v>0</v>
      </c>
      <c r="F11" s="2">
        <v>6215</v>
      </c>
      <c r="G11" s="3">
        <v>1365528</v>
      </c>
      <c r="H11" s="3">
        <v>0</v>
      </c>
      <c r="I11" s="3">
        <v>0</v>
      </c>
      <c r="J11" s="3">
        <v>1365528</v>
      </c>
      <c r="K11" s="3">
        <v>219.71</v>
      </c>
      <c r="L11" s="3">
        <v>598988</v>
      </c>
      <c r="M11" s="3">
        <v>96.38</v>
      </c>
      <c r="N11" s="3">
        <v>598984</v>
      </c>
      <c r="O11" s="3">
        <v>96.38</v>
      </c>
    </row>
    <row r="12" spans="1:15" x14ac:dyDescent="0.2">
      <c r="A12" t="s">
        <v>19</v>
      </c>
      <c r="B12" t="str">
        <f>VLOOKUP(A12,分群碼名稱!A:B,2)</f>
        <v>倒車燈</v>
      </c>
      <c r="C12" t="s">
        <v>20</v>
      </c>
      <c r="D12" s="2">
        <v>76028</v>
      </c>
      <c r="E12" s="2">
        <v>-41</v>
      </c>
      <c r="F12" s="2">
        <v>75987</v>
      </c>
      <c r="G12" s="3">
        <v>50539772</v>
      </c>
      <c r="H12" s="3">
        <v>-815</v>
      </c>
      <c r="I12" s="3">
        <v>-45628</v>
      </c>
      <c r="J12" s="3">
        <v>50493329</v>
      </c>
      <c r="K12" s="3">
        <v>664.5</v>
      </c>
      <c r="L12" s="3">
        <v>31128334</v>
      </c>
      <c r="M12" s="3">
        <v>409.65</v>
      </c>
      <c r="N12" s="3">
        <v>31179594</v>
      </c>
      <c r="O12" s="3">
        <v>410.33</v>
      </c>
    </row>
    <row r="13" spans="1:15" x14ac:dyDescent="0.2">
      <c r="A13" t="s">
        <v>21</v>
      </c>
      <c r="B13" t="str">
        <f>VLOOKUP(A13,分群碼名稱!A:B,2)</f>
        <v>邊燈</v>
      </c>
      <c r="C13" t="s">
        <v>22</v>
      </c>
      <c r="D13" s="2">
        <v>241730</v>
      </c>
      <c r="E13" s="2">
        <v>-21</v>
      </c>
      <c r="F13" s="2">
        <v>241709</v>
      </c>
      <c r="G13" s="3">
        <v>27159979</v>
      </c>
      <c r="H13" s="3">
        <v>-294</v>
      </c>
      <c r="I13" s="3">
        <v>-3717</v>
      </c>
      <c r="J13" s="3">
        <v>27155968</v>
      </c>
      <c r="K13" s="3">
        <v>112.35</v>
      </c>
      <c r="L13" s="3">
        <v>11815179</v>
      </c>
      <c r="M13" s="3">
        <v>48.88</v>
      </c>
      <c r="N13" s="3">
        <v>11818538</v>
      </c>
      <c r="O13" s="3">
        <v>48.9</v>
      </c>
    </row>
    <row r="14" spans="1:15" x14ac:dyDescent="0.2">
      <c r="A14" t="s">
        <v>23</v>
      </c>
      <c r="B14" t="str">
        <f>VLOOKUP(A14,分群碼名稱!A:B,2)</f>
        <v>角燈</v>
      </c>
      <c r="C14" t="s">
        <v>24</v>
      </c>
      <c r="D14" s="2">
        <v>398314</v>
      </c>
      <c r="E14" s="2">
        <v>-27</v>
      </c>
      <c r="F14" s="2">
        <v>398287</v>
      </c>
      <c r="G14" s="3">
        <v>63768340</v>
      </c>
      <c r="H14" s="3">
        <v>-837</v>
      </c>
      <c r="I14" s="3">
        <v>-6883</v>
      </c>
      <c r="J14" s="3">
        <v>63760620</v>
      </c>
      <c r="K14" s="3">
        <v>160.09</v>
      </c>
      <c r="L14" s="3">
        <v>38566847</v>
      </c>
      <c r="M14" s="3">
        <v>96.83</v>
      </c>
      <c r="N14" s="3">
        <v>38576159</v>
      </c>
      <c r="O14" s="3">
        <v>96.86</v>
      </c>
    </row>
    <row r="15" spans="1:15" x14ac:dyDescent="0.2">
      <c r="A15" t="s">
        <v>25</v>
      </c>
      <c r="B15" t="str">
        <f>VLOOKUP(A15,分群碼名稱!A:B,2)</f>
        <v>前燈</v>
      </c>
      <c r="C15" t="s">
        <v>26</v>
      </c>
      <c r="D15" s="2">
        <v>206907</v>
      </c>
      <c r="E15" s="2">
        <v>-24</v>
      </c>
      <c r="F15" s="2">
        <v>206883</v>
      </c>
      <c r="G15" s="3">
        <v>65166351</v>
      </c>
      <c r="H15" s="3">
        <v>-2557</v>
      </c>
      <c r="I15" s="3">
        <v>-31692</v>
      </c>
      <c r="J15" s="3">
        <v>65132102</v>
      </c>
      <c r="K15" s="3">
        <v>314.83</v>
      </c>
      <c r="L15" s="3">
        <v>36272568</v>
      </c>
      <c r="M15" s="3">
        <v>175.33</v>
      </c>
      <c r="N15" s="3">
        <v>36412738</v>
      </c>
      <c r="O15" s="3">
        <v>176.01</v>
      </c>
    </row>
    <row r="16" spans="1:15" x14ac:dyDescent="0.2">
      <c r="A16" t="s">
        <v>27</v>
      </c>
      <c r="B16" t="str">
        <f>VLOOKUP(A16,分群碼名稱!A:B,2)</f>
        <v>燈座</v>
      </c>
      <c r="C16" t="s">
        <v>28</v>
      </c>
      <c r="D16" s="2">
        <v>9202</v>
      </c>
      <c r="E16" s="2">
        <v>0</v>
      </c>
      <c r="F16" s="2">
        <v>9202</v>
      </c>
      <c r="G16" s="3">
        <v>1228382</v>
      </c>
      <c r="H16" s="3">
        <v>0</v>
      </c>
      <c r="I16" s="3">
        <v>0</v>
      </c>
      <c r="J16" s="3">
        <v>1228382</v>
      </c>
      <c r="K16" s="3">
        <v>133.49</v>
      </c>
      <c r="L16" s="3">
        <v>490131</v>
      </c>
      <c r="M16" s="3">
        <v>53.26</v>
      </c>
      <c r="N16" s="3">
        <v>490140</v>
      </c>
      <c r="O16" s="3">
        <v>53.26</v>
      </c>
    </row>
    <row r="17" spans="1:15" x14ac:dyDescent="0.2">
      <c r="A17" t="s">
        <v>29</v>
      </c>
      <c r="B17" t="str">
        <f>VLOOKUP(A17,分群碼名稱!A:B,2)</f>
        <v>後燈</v>
      </c>
      <c r="C17" t="s">
        <v>30</v>
      </c>
      <c r="D17" s="2">
        <v>1082188</v>
      </c>
      <c r="E17" s="2">
        <v>-285</v>
      </c>
      <c r="F17" s="2">
        <v>1081903</v>
      </c>
      <c r="G17" s="3">
        <v>738098612</v>
      </c>
      <c r="H17" s="3">
        <v>-107339</v>
      </c>
      <c r="I17" s="3">
        <v>-275523</v>
      </c>
      <c r="J17" s="3">
        <v>737715750</v>
      </c>
      <c r="K17" s="3">
        <v>681.87</v>
      </c>
      <c r="L17" s="3">
        <v>444080686</v>
      </c>
      <c r="M17" s="3">
        <v>410.46</v>
      </c>
      <c r="N17" s="3">
        <v>444961996</v>
      </c>
      <c r="O17" s="3">
        <v>411.28</v>
      </c>
    </row>
    <row r="18" spans="1:15" x14ac:dyDescent="0.2">
      <c r="A18" t="s">
        <v>31</v>
      </c>
      <c r="B18" t="str">
        <f>VLOOKUP(A18,分群碼名稱!A:B,2)</f>
        <v>霧燈</v>
      </c>
      <c r="C18" t="s">
        <v>32</v>
      </c>
      <c r="D18" s="2">
        <v>230586</v>
      </c>
      <c r="E18" s="2">
        <v>-24</v>
      </c>
      <c r="F18" s="2">
        <v>230562</v>
      </c>
      <c r="G18" s="3">
        <v>133481363</v>
      </c>
      <c r="H18" s="3">
        <v>-3289</v>
      </c>
      <c r="I18" s="3">
        <v>-34902</v>
      </c>
      <c r="J18" s="3">
        <v>133443172</v>
      </c>
      <c r="K18" s="3">
        <v>578.77</v>
      </c>
      <c r="L18" s="3">
        <v>77610978</v>
      </c>
      <c r="M18" s="3">
        <v>336.62</v>
      </c>
      <c r="N18" s="3">
        <v>77702511</v>
      </c>
      <c r="O18" s="3">
        <v>337.01</v>
      </c>
    </row>
    <row r="19" spans="1:15" x14ac:dyDescent="0.2">
      <c r="A19" t="s">
        <v>33</v>
      </c>
      <c r="B19" t="str">
        <f>VLOOKUP(A19,分群碼名稱!A:B,2)</f>
        <v>牌照燈</v>
      </c>
      <c r="C19" t="s">
        <v>34</v>
      </c>
      <c r="D19" s="2">
        <v>90206</v>
      </c>
      <c r="E19" s="2">
        <v>0</v>
      </c>
      <c r="F19" s="2">
        <v>90206</v>
      </c>
      <c r="G19" s="3">
        <v>5669271</v>
      </c>
      <c r="H19" s="3">
        <v>0</v>
      </c>
      <c r="I19" s="3">
        <v>0</v>
      </c>
      <c r="J19" s="3">
        <v>5669271</v>
      </c>
      <c r="K19" s="3">
        <v>62.85</v>
      </c>
      <c r="L19" s="3">
        <v>4894832</v>
      </c>
      <c r="M19" s="3">
        <v>54.26</v>
      </c>
      <c r="N19" s="3">
        <v>4894848</v>
      </c>
      <c r="O19" s="3">
        <v>54.26</v>
      </c>
    </row>
    <row r="20" spans="1:15" x14ac:dyDescent="0.2">
      <c r="A20" t="s">
        <v>35</v>
      </c>
      <c r="B20" t="str">
        <f>VLOOKUP(A20,分群碼名稱!A:B,2)</f>
        <v>其他燈</v>
      </c>
      <c r="C20" t="s">
        <v>36</v>
      </c>
      <c r="D20" s="2">
        <v>80</v>
      </c>
      <c r="E20" s="2">
        <v>0</v>
      </c>
      <c r="F20" s="2">
        <v>80</v>
      </c>
      <c r="G20" s="3">
        <v>12600</v>
      </c>
      <c r="H20" s="3">
        <v>0</v>
      </c>
      <c r="I20" s="3">
        <v>0</v>
      </c>
      <c r="J20" s="3">
        <v>12600</v>
      </c>
      <c r="K20" s="3">
        <v>157.5</v>
      </c>
      <c r="L20" s="3">
        <v>4297</v>
      </c>
      <c r="M20" s="3">
        <v>53.71</v>
      </c>
      <c r="N20" s="3">
        <v>4297</v>
      </c>
      <c r="O20" s="3">
        <v>53.71</v>
      </c>
    </row>
    <row r="21" spans="1:15" x14ac:dyDescent="0.2">
      <c r="A21" t="s">
        <v>37</v>
      </c>
      <c r="B21" t="str">
        <f>VLOOKUP(A21,分群碼名稱!A:B,2)</f>
        <v>百貨</v>
      </c>
      <c r="C21" t="s">
        <v>38</v>
      </c>
      <c r="D21" s="2">
        <v>32794</v>
      </c>
      <c r="E21" s="2">
        <v>-7</v>
      </c>
      <c r="F21" s="2">
        <v>32787</v>
      </c>
      <c r="G21" s="3">
        <v>5006327</v>
      </c>
      <c r="H21" s="3">
        <v>0</v>
      </c>
      <c r="I21" s="3">
        <v>-950</v>
      </c>
      <c r="J21" s="3">
        <v>5005377</v>
      </c>
      <c r="K21" s="3">
        <v>152.66</v>
      </c>
      <c r="L21" s="3">
        <v>1651764</v>
      </c>
      <c r="M21" s="3">
        <v>50.38</v>
      </c>
      <c r="N21" s="3">
        <v>1653614</v>
      </c>
      <c r="O21" s="3">
        <v>50.44</v>
      </c>
    </row>
    <row r="22" spans="1:15" x14ac:dyDescent="0.2">
      <c r="A22" t="s">
        <v>39</v>
      </c>
      <c r="B22" t="str">
        <f>VLOOKUP(A22,分群碼名稱!A:B,2)</f>
        <v>百貨</v>
      </c>
      <c r="C22" t="s">
        <v>40</v>
      </c>
      <c r="D22" s="2">
        <v>200</v>
      </c>
      <c r="E22" s="2">
        <v>0</v>
      </c>
      <c r="F22" s="2">
        <v>200</v>
      </c>
      <c r="G22" s="3">
        <v>23009</v>
      </c>
      <c r="H22" s="3">
        <v>0</v>
      </c>
      <c r="I22" s="3">
        <v>0</v>
      </c>
      <c r="J22" s="3">
        <v>23009</v>
      </c>
      <c r="K22" s="3">
        <v>115.05</v>
      </c>
      <c r="L22" s="3">
        <v>9452</v>
      </c>
      <c r="M22" s="3">
        <v>47.26</v>
      </c>
      <c r="N22" s="3">
        <v>9452</v>
      </c>
      <c r="O22" s="3">
        <v>47.26</v>
      </c>
    </row>
    <row r="23" spans="1:15" x14ac:dyDescent="0.2">
      <c r="A23" t="s">
        <v>41</v>
      </c>
      <c r="B23" t="str">
        <f>VLOOKUP(A23,分群碼名稱!A:B,2)</f>
        <v>百貨</v>
      </c>
      <c r="C23" t="s">
        <v>42</v>
      </c>
      <c r="D23" s="2">
        <v>200</v>
      </c>
      <c r="E23" s="2">
        <v>0</v>
      </c>
      <c r="F23" s="2">
        <v>200</v>
      </c>
      <c r="G23" s="3">
        <v>12359</v>
      </c>
      <c r="H23" s="3">
        <v>0</v>
      </c>
      <c r="I23" s="3">
        <v>0</v>
      </c>
      <c r="J23" s="3">
        <v>12359</v>
      </c>
      <c r="K23" s="3">
        <v>61.8</v>
      </c>
      <c r="L23" s="3">
        <v>3963</v>
      </c>
      <c r="M23" s="3">
        <v>19.82</v>
      </c>
      <c r="N23" s="3">
        <v>3958</v>
      </c>
      <c r="O23" s="3">
        <v>19.79</v>
      </c>
    </row>
    <row r="24" spans="1:15" x14ac:dyDescent="0.2">
      <c r="A24" t="s">
        <v>43</v>
      </c>
      <c r="B24" t="str">
        <f>VLOOKUP(A24,分群碼名稱!A:B,2)</f>
        <v>百貨</v>
      </c>
      <c r="C24" t="s">
        <v>44</v>
      </c>
      <c r="D24" s="2">
        <v>81776</v>
      </c>
      <c r="E24" s="2">
        <v>-1</v>
      </c>
      <c r="F24" s="2">
        <v>81775</v>
      </c>
      <c r="G24" s="3">
        <v>18775111</v>
      </c>
      <c r="H24" s="3">
        <v>0</v>
      </c>
      <c r="I24" s="3">
        <v>-159</v>
      </c>
      <c r="J24" s="3">
        <v>18774952</v>
      </c>
      <c r="K24" s="3">
        <v>229.59</v>
      </c>
      <c r="L24" s="3">
        <v>6885154</v>
      </c>
      <c r="M24" s="3">
        <v>84.2</v>
      </c>
      <c r="N24" s="3">
        <v>6887754</v>
      </c>
      <c r="O24" s="3">
        <v>84.23</v>
      </c>
    </row>
    <row r="25" spans="1:15" x14ac:dyDescent="0.2">
      <c r="A25" t="s">
        <v>45</v>
      </c>
      <c r="B25" t="str">
        <f>VLOOKUP(A25,分群碼名稱!A:B,2)</f>
        <v>其他燈</v>
      </c>
      <c r="C25" t="s">
        <v>46</v>
      </c>
      <c r="D25" s="2">
        <v>380</v>
      </c>
      <c r="E25" s="2">
        <v>0</v>
      </c>
      <c r="F25" s="2">
        <v>380</v>
      </c>
      <c r="G25" s="3">
        <v>131723</v>
      </c>
      <c r="H25" s="3">
        <v>0</v>
      </c>
      <c r="I25" s="3">
        <v>0</v>
      </c>
      <c r="J25" s="3">
        <v>131723</v>
      </c>
      <c r="K25" s="3">
        <v>346.64</v>
      </c>
      <c r="L25" s="3">
        <v>220817</v>
      </c>
      <c r="M25" s="3">
        <v>581.1</v>
      </c>
      <c r="N25" s="3">
        <v>220818</v>
      </c>
      <c r="O25" s="3">
        <v>581.1</v>
      </c>
    </row>
    <row r="26" spans="1:15" x14ac:dyDescent="0.2">
      <c r="A26" t="s">
        <v>47</v>
      </c>
      <c r="B26" t="str">
        <f>VLOOKUP(A26,分群碼名稱!A:B,2)</f>
        <v>其他燈</v>
      </c>
      <c r="C26" t="s">
        <v>48</v>
      </c>
      <c r="D26" s="2">
        <v>1626</v>
      </c>
      <c r="E26" s="2">
        <v>0</v>
      </c>
      <c r="F26" s="2">
        <v>1626</v>
      </c>
      <c r="G26" s="3">
        <v>1042267</v>
      </c>
      <c r="H26" s="3">
        <v>0</v>
      </c>
      <c r="I26" s="3">
        <v>0</v>
      </c>
      <c r="J26" s="3">
        <v>1042267</v>
      </c>
      <c r="K26" s="3">
        <v>641</v>
      </c>
      <c r="L26" s="3">
        <v>1153885</v>
      </c>
      <c r="M26" s="3">
        <v>709.65</v>
      </c>
      <c r="N26" s="3">
        <v>1153886</v>
      </c>
      <c r="O26" s="3">
        <v>709.65</v>
      </c>
    </row>
    <row r="27" spans="1:15" x14ac:dyDescent="0.2">
      <c r="A27" t="s">
        <v>49</v>
      </c>
      <c r="B27" t="str">
        <f>VLOOKUP(A27,分群碼名稱!A:B,2)</f>
        <v>百貨</v>
      </c>
      <c r="C27" t="s">
        <v>50</v>
      </c>
      <c r="D27" s="2">
        <v>240</v>
      </c>
      <c r="E27" s="2">
        <v>0</v>
      </c>
      <c r="F27" s="2">
        <v>240</v>
      </c>
      <c r="G27" s="3">
        <v>32808</v>
      </c>
      <c r="H27" s="3">
        <v>0</v>
      </c>
      <c r="I27" s="3">
        <v>0</v>
      </c>
      <c r="J27" s="3">
        <v>32808</v>
      </c>
      <c r="K27" s="3">
        <v>136.69999999999999</v>
      </c>
      <c r="L27" s="3">
        <v>15594</v>
      </c>
      <c r="M27" s="3">
        <v>64.98</v>
      </c>
      <c r="N27" s="3">
        <v>15595</v>
      </c>
      <c r="O27" s="3">
        <v>64.98</v>
      </c>
    </row>
    <row r="28" spans="1:15" x14ac:dyDescent="0.2">
      <c r="A28" t="s">
        <v>51</v>
      </c>
      <c r="B28" t="str">
        <f>VLOOKUP(A28,分群碼名稱!A:B,2)</f>
        <v>百貨</v>
      </c>
      <c r="C28" t="s">
        <v>52</v>
      </c>
      <c r="D28" s="2">
        <v>103</v>
      </c>
      <c r="E28" s="2">
        <v>0</v>
      </c>
      <c r="F28" s="2">
        <v>103</v>
      </c>
      <c r="G28" s="3">
        <v>8186</v>
      </c>
      <c r="H28" s="3">
        <v>0</v>
      </c>
      <c r="I28" s="3">
        <v>0</v>
      </c>
      <c r="J28" s="3">
        <v>8186</v>
      </c>
      <c r="K28" s="3">
        <v>79.48</v>
      </c>
      <c r="L28" s="3">
        <v>6818</v>
      </c>
      <c r="M28" s="3">
        <v>66.19</v>
      </c>
      <c r="N28" s="3">
        <v>6818</v>
      </c>
      <c r="O28" s="3">
        <v>66.19</v>
      </c>
    </row>
    <row r="29" spans="1:15" x14ac:dyDescent="0.2">
      <c r="A29" t="s">
        <v>53</v>
      </c>
      <c r="B29" t="str">
        <f>VLOOKUP(A29,分群碼名稱!A:B,2)</f>
        <v>百貨</v>
      </c>
      <c r="C29" t="s">
        <v>54</v>
      </c>
      <c r="D29" s="2">
        <v>269</v>
      </c>
      <c r="E29" s="2">
        <v>0</v>
      </c>
      <c r="F29" s="2">
        <v>269</v>
      </c>
      <c r="G29" s="3">
        <v>27389</v>
      </c>
      <c r="H29" s="3">
        <v>0</v>
      </c>
      <c r="I29" s="3">
        <v>0</v>
      </c>
      <c r="J29" s="3">
        <v>27389</v>
      </c>
      <c r="K29" s="3">
        <v>101.82</v>
      </c>
      <c r="L29" s="3">
        <v>9430</v>
      </c>
      <c r="M29" s="3">
        <v>35.06</v>
      </c>
      <c r="N29" s="3">
        <v>9428</v>
      </c>
      <c r="O29" s="3">
        <v>35.049999999999997</v>
      </c>
    </row>
    <row r="30" spans="1:15" x14ac:dyDescent="0.2">
      <c r="A30" t="s">
        <v>55</v>
      </c>
      <c r="B30" t="str">
        <f>VLOOKUP(A30,分群碼名稱!A:B,2)</f>
        <v>百貨</v>
      </c>
      <c r="C30" t="s">
        <v>56</v>
      </c>
      <c r="D30" s="2">
        <v>30957</v>
      </c>
      <c r="E30" s="2">
        <v>-2</v>
      </c>
      <c r="F30" s="2">
        <v>30955</v>
      </c>
      <c r="G30" s="3">
        <v>11194735</v>
      </c>
      <c r="H30" s="3">
        <v>0</v>
      </c>
      <c r="I30" s="3">
        <v>-3197</v>
      </c>
      <c r="J30" s="3">
        <v>11191538</v>
      </c>
      <c r="K30" s="3">
        <v>361.54</v>
      </c>
      <c r="L30" s="3">
        <v>8891966</v>
      </c>
      <c r="M30" s="3">
        <v>287.25</v>
      </c>
      <c r="N30" s="3">
        <v>8895381</v>
      </c>
      <c r="O30" s="3">
        <v>287.36</v>
      </c>
    </row>
    <row r="31" spans="1:15" x14ac:dyDescent="0.2">
      <c r="A31" t="s">
        <v>57</v>
      </c>
      <c r="B31" t="str">
        <f>VLOOKUP(A31,分群碼名稱!A:B,2)</f>
        <v>百貨</v>
      </c>
      <c r="C31" t="s">
        <v>58</v>
      </c>
      <c r="D31" s="2">
        <v>7757</v>
      </c>
      <c r="E31" s="2">
        <v>0</v>
      </c>
      <c r="F31" s="2">
        <v>7757</v>
      </c>
      <c r="G31" s="3">
        <v>1941238</v>
      </c>
      <c r="H31" s="3">
        <v>0</v>
      </c>
      <c r="I31" s="3">
        <v>0</v>
      </c>
      <c r="J31" s="3">
        <v>1941238</v>
      </c>
      <c r="K31" s="3">
        <v>250.26</v>
      </c>
      <c r="L31" s="3">
        <v>2620881</v>
      </c>
      <c r="M31" s="3">
        <v>337.87</v>
      </c>
      <c r="N31" s="3">
        <v>2620884</v>
      </c>
      <c r="O31" s="3">
        <v>337.87</v>
      </c>
    </row>
    <row r="32" spans="1:15" x14ac:dyDescent="0.2">
      <c r="A32" t="s">
        <v>59</v>
      </c>
      <c r="B32" t="str">
        <f>VLOOKUP(A32,分群碼名稱!A:B,2)</f>
        <v>百貨</v>
      </c>
      <c r="C32" t="s">
        <v>60</v>
      </c>
      <c r="D32" s="2">
        <v>916</v>
      </c>
      <c r="E32" s="2">
        <v>0</v>
      </c>
      <c r="F32" s="2">
        <v>916</v>
      </c>
      <c r="G32" s="3">
        <v>338275</v>
      </c>
      <c r="H32" s="3">
        <v>0</v>
      </c>
      <c r="I32" s="3">
        <v>0</v>
      </c>
      <c r="J32" s="3">
        <v>338275</v>
      </c>
      <c r="K32" s="3">
        <v>369.3</v>
      </c>
      <c r="L32" s="3">
        <v>183023</v>
      </c>
      <c r="M32" s="3">
        <v>199.81</v>
      </c>
      <c r="N32" s="3">
        <v>183027</v>
      </c>
      <c r="O32" s="3">
        <v>199.81</v>
      </c>
    </row>
    <row r="33" spans="1:15" x14ac:dyDescent="0.2">
      <c r="A33" t="s">
        <v>61</v>
      </c>
      <c r="B33" t="str">
        <f>VLOOKUP(A33,分群碼名稱!A:B,2)</f>
        <v>百貨</v>
      </c>
      <c r="C33" t="s">
        <v>62</v>
      </c>
      <c r="D33" s="2">
        <v>0</v>
      </c>
      <c r="E33" s="2">
        <v>0</v>
      </c>
      <c r="F33" s="2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</row>
    <row r="34" spans="1:15" x14ac:dyDescent="0.2">
      <c r="A34" t="s">
        <v>63</v>
      </c>
      <c r="B34" t="str">
        <f>VLOOKUP(A34,分群碼名稱!A:B,2)</f>
        <v>百貨</v>
      </c>
      <c r="C34" t="s">
        <v>64</v>
      </c>
      <c r="D34" s="2">
        <v>1600</v>
      </c>
      <c r="E34" s="2">
        <v>0</v>
      </c>
      <c r="F34" s="2">
        <v>1600</v>
      </c>
      <c r="G34" s="3">
        <v>11069</v>
      </c>
      <c r="H34" s="3">
        <v>0</v>
      </c>
      <c r="I34" s="3">
        <v>0</v>
      </c>
      <c r="J34" s="3">
        <v>11069</v>
      </c>
      <c r="K34" s="3">
        <v>6.92</v>
      </c>
      <c r="L34" s="3">
        <v>56026</v>
      </c>
      <c r="M34" s="3">
        <v>35.020000000000003</v>
      </c>
      <c r="N34" s="3">
        <v>56026</v>
      </c>
      <c r="O34" s="3">
        <v>35.020000000000003</v>
      </c>
    </row>
    <row r="35" spans="1:15" x14ac:dyDescent="0.2">
      <c r="A35" t="s">
        <v>65</v>
      </c>
      <c r="B35" t="str">
        <f>VLOOKUP(A35,分群碼名稱!A:B,2)</f>
        <v>百貨</v>
      </c>
      <c r="C35" t="s">
        <v>66</v>
      </c>
      <c r="D35" s="2">
        <v>30927</v>
      </c>
      <c r="E35" s="2">
        <v>-125</v>
      </c>
      <c r="F35" s="2">
        <v>30802</v>
      </c>
      <c r="G35" s="3">
        <v>681166</v>
      </c>
      <c r="H35" s="3">
        <v>0</v>
      </c>
      <c r="I35" s="3">
        <v>-1810</v>
      </c>
      <c r="J35" s="3">
        <v>679356</v>
      </c>
      <c r="K35" s="3">
        <v>22.06</v>
      </c>
      <c r="L35" s="3">
        <v>1828886</v>
      </c>
      <c r="M35" s="3">
        <v>59.38</v>
      </c>
      <c r="N35" s="3">
        <v>1828888</v>
      </c>
      <c r="O35" s="3">
        <v>59.38</v>
      </c>
    </row>
    <row r="36" spans="1:15" x14ac:dyDescent="0.2">
      <c r="A36" t="s">
        <v>67</v>
      </c>
      <c r="B36" t="str">
        <f>VLOOKUP(A36,分群碼名稱!A:B,2)</f>
        <v>百貨</v>
      </c>
      <c r="C36" t="s">
        <v>68</v>
      </c>
      <c r="D36" s="2">
        <v>4086</v>
      </c>
      <c r="E36" s="2">
        <v>-1</v>
      </c>
      <c r="F36" s="2">
        <v>4085</v>
      </c>
      <c r="G36" s="3">
        <v>125464</v>
      </c>
      <c r="H36" s="3">
        <v>0</v>
      </c>
      <c r="I36" s="3">
        <v>-133</v>
      </c>
      <c r="J36" s="3">
        <v>125331</v>
      </c>
      <c r="K36" s="3">
        <v>30.68</v>
      </c>
      <c r="L36" s="3">
        <v>111007</v>
      </c>
      <c r="M36" s="3">
        <v>27.17</v>
      </c>
      <c r="N36" s="3">
        <v>111006</v>
      </c>
      <c r="O36" s="3">
        <v>27.17</v>
      </c>
    </row>
    <row r="37" spans="1:15" x14ac:dyDescent="0.2">
      <c r="A37" t="s">
        <v>69</v>
      </c>
      <c r="B37" t="str">
        <f>VLOOKUP(A37,分群碼名稱!A:B,2)</f>
        <v>百貨</v>
      </c>
      <c r="C37" t="s">
        <v>70</v>
      </c>
      <c r="D37" s="2">
        <v>17325</v>
      </c>
      <c r="E37" s="2">
        <v>0</v>
      </c>
      <c r="F37" s="2">
        <v>17325</v>
      </c>
      <c r="G37" s="3">
        <v>983197</v>
      </c>
      <c r="H37" s="3">
        <v>0</v>
      </c>
      <c r="I37" s="3">
        <v>0</v>
      </c>
      <c r="J37" s="3">
        <v>983197</v>
      </c>
      <c r="K37" s="3">
        <v>56.75</v>
      </c>
      <c r="L37" s="3">
        <v>1303805</v>
      </c>
      <c r="M37" s="3">
        <v>75.260000000000005</v>
      </c>
      <c r="N37" s="3">
        <v>1303806</v>
      </c>
      <c r="O37" s="3">
        <v>75.260000000000005</v>
      </c>
    </row>
    <row r="38" spans="1:15" x14ac:dyDescent="0.2">
      <c r="A38" t="s">
        <v>71</v>
      </c>
      <c r="B38" t="str">
        <f>VLOOKUP(A38,分群碼名稱!A:B,2)</f>
        <v>百貨</v>
      </c>
      <c r="C38" t="s">
        <v>72</v>
      </c>
      <c r="D38" s="2">
        <v>400</v>
      </c>
      <c r="E38" s="2">
        <v>0</v>
      </c>
      <c r="F38" s="2">
        <v>400</v>
      </c>
      <c r="G38" s="3">
        <v>3824</v>
      </c>
      <c r="H38" s="3">
        <v>0</v>
      </c>
      <c r="I38" s="3">
        <v>0</v>
      </c>
      <c r="J38" s="3">
        <v>3824</v>
      </c>
      <c r="K38" s="3">
        <v>9.56</v>
      </c>
      <c r="L38" s="3">
        <v>5235</v>
      </c>
      <c r="M38" s="3">
        <v>13.09</v>
      </c>
      <c r="N38" s="3">
        <v>5235</v>
      </c>
      <c r="O38" s="3">
        <v>13.09</v>
      </c>
    </row>
    <row r="39" spans="1:15" x14ac:dyDescent="0.2">
      <c r="A39" t="s">
        <v>73</v>
      </c>
      <c r="B39" t="str">
        <f>VLOOKUP(A39,分群碼名稱!A:B,2)</f>
        <v>百貨</v>
      </c>
      <c r="C39" t="s">
        <v>74</v>
      </c>
      <c r="D39" s="2">
        <v>0</v>
      </c>
      <c r="E39" s="2">
        <v>0</v>
      </c>
      <c r="F39" s="2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</row>
    <row r="40" spans="1:15" x14ac:dyDescent="0.2">
      <c r="A40" t="s">
        <v>75</v>
      </c>
      <c r="B40" t="str">
        <f>VLOOKUP(A40,分群碼名稱!A:B,2)</f>
        <v>百貨</v>
      </c>
      <c r="C40" t="s">
        <v>76</v>
      </c>
      <c r="D40" s="2">
        <v>1020</v>
      </c>
      <c r="E40" s="2">
        <v>0</v>
      </c>
      <c r="F40" s="2">
        <v>1020</v>
      </c>
      <c r="G40" s="3">
        <v>225764</v>
      </c>
      <c r="H40" s="3">
        <v>0</v>
      </c>
      <c r="I40" s="3">
        <v>0</v>
      </c>
      <c r="J40" s="3">
        <v>225764</v>
      </c>
      <c r="K40" s="3">
        <v>221.34</v>
      </c>
      <c r="L40" s="3">
        <v>315582</v>
      </c>
      <c r="M40" s="3">
        <v>309.39</v>
      </c>
      <c r="N40" s="3">
        <v>315582</v>
      </c>
      <c r="O40" s="3">
        <v>309.39</v>
      </c>
    </row>
    <row r="41" spans="1:15" x14ac:dyDescent="0.2">
      <c r="A41" t="s">
        <v>77</v>
      </c>
      <c r="B41" t="str">
        <f>VLOOKUP(A41,分群碼名稱!A:B,2)</f>
        <v>百貨</v>
      </c>
      <c r="C41" t="s">
        <v>78</v>
      </c>
      <c r="D41" s="2">
        <v>300</v>
      </c>
      <c r="E41" s="2">
        <v>0</v>
      </c>
      <c r="F41" s="2">
        <v>300</v>
      </c>
      <c r="G41" s="3">
        <v>12038</v>
      </c>
      <c r="H41" s="3">
        <v>0</v>
      </c>
      <c r="I41" s="3">
        <v>0</v>
      </c>
      <c r="J41" s="3">
        <v>12038</v>
      </c>
      <c r="K41" s="3">
        <v>40.130000000000003</v>
      </c>
      <c r="L41" s="3">
        <v>6555</v>
      </c>
      <c r="M41" s="3">
        <v>21.85</v>
      </c>
      <c r="N41" s="3">
        <v>6555</v>
      </c>
      <c r="O41" s="3">
        <v>21.85</v>
      </c>
    </row>
    <row r="42" spans="1:15" x14ac:dyDescent="0.2">
      <c r="A42" t="s">
        <v>79</v>
      </c>
      <c r="B42" t="str">
        <f>VLOOKUP(A42,分群碼名稱!A:B,2)</f>
        <v>百貨</v>
      </c>
      <c r="C42" t="s">
        <v>80</v>
      </c>
      <c r="D42" s="2">
        <v>1936</v>
      </c>
      <c r="E42" s="2">
        <v>0</v>
      </c>
      <c r="F42" s="2">
        <v>1936</v>
      </c>
      <c r="G42" s="3">
        <v>306278</v>
      </c>
      <c r="H42" s="3">
        <v>0</v>
      </c>
      <c r="I42" s="3">
        <v>0</v>
      </c>
      <c r="J42" s="3">
        <v>306278</v>
      </c>
      <c r="K42" s="3">
        <v>158.19999999999999</v>
      </c>
      <c r="L42" s="3">
        <v>218655</v>
      </c>
      <c r="M42" s="3">
        <v>112.94</v>
      </c>
      <c r="N42" s="3">
        <v>218656</v>
      </c>
      <c r="O42" s="3">
        <v>112.94</v>
      </c>
    </row>
    <row r="43" spans="1:15" x14ac:dyDescent="0.2">
      <c r="A43" t="s">
        <v>81</v>
      </c>
      <c r="B43" t="str">
        <f>VLOOKUP(A43,分群碼名稱!A:B,2)</f>
        <v>百貨</v>
      </c>
      <c r="C43" t="s">
        <v>82</v>
      </c>
      <c r="D43" s="2">
        <v>0</v>
      </c>
      <c r="E43" s="2">
        <v>0</v>
      </c>
      <c r="F43" s="2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1:15" x14ac:dyDescent="0.2">
      <c r="A44" t="s">
        <v>83</v>
      </c>
      <c r="B44" t="str">
        <f>VLOOKUP(A44,分群碼名稱!A:B,2)</f>
        <v>百貨</v>
      </c>
      <c r="C44" t="s">
        <v>84</v>
      </c>
      <c r="D44" s="2">
        <v>400</v>
      </c>
      <c r="E44" s="2">
        <v>0</v>
      </c>
      <c r="F44" s="2">
        <v>400</v>
      </c>
      <c r="G44" s="3">
        <v>409825</v>
      </c>
      <c r="H44" s="3">
        <v>0</v>
      </c>
      <c r="I44" s="3">
        <v>0</v>
      </c>
      <c r="J44" s="3">
        <v>409825</v>
      </c>
      <c r="K44" s="3">
        <v>1024.56</v>
      </c>
      <c r="L44" s="3">
        <v>226431</v>
      </c>
      <c r="M44" s="3">
        <v>566.08000000000004</v>
      </c>
      <c r="N44" s="3">
        <v>226431</v>
      </c>
      <c r="O44" s="3">
        <v>566.08000000000004</v>
      </c>
    </row>
    <row r="45" spans="1:15" s="9" customFormat="1" x14ac:dyDescent="0.2">
      <c r="A45" s="9" t="s">
        <v>85</v>
      </c>
      <c r="B45" s="9" t="s">
        <v>331</v>
      </c>
      <c r="C45" s="9" t="s">
        <v>2</v>
      </c>
      <c r="D45" s="10">
        <v>4878</v>
      </c>
      <c r="E45" s="10">
        <v>0</v>
      </c>
      <c r="F45" s="10">
        <v>4878</v>
      </c>
      <c r="G45" s="11">
        <v>447865</v>
      </c>
      <c r="H45" s="11">
        <v>0</v>
      </c>
      <c r="I45" s="11">
        <v>0</v>
      </c>
      <c r="J45" s="11">
        <v>447865</v>
      </c>
      <c r="K45" s="11">
        <v>91.81</v>
      </c>
      <c r="L45" s="11">
        <v>526097</v>
      </c>
      <c r="M45" s="11">
        <v>107.85</v>
      </c>
      <c r="N45" s="11">
        <v>831109</v>
      </c>
      <c r="O45" s="11">
        <v>170.38</v>
      </c>
    </row>
    <row r="46" spans="1:15" s="9" customFormat="1" x14ac:dyDescent="0.2">
      <c r="A46" s="9" t="s">
        <v>86</v>
      </c>
      <c r="B46" s="9" t="s">
        <v>331</v>
      </c>
      <c r="C46" s="9" t="s">
        <v>87</v>
      </c>
      <c r="D46" s="10">
        <v>1780</v>
      </c>
      <c r="E46" s="10">
        <v>0</v>
      </c>
      <c r="F46" s="10">
        <v>1780</v>
      </c>
      <c r="G46" s="11">
        <v>9124</v>
      </c>
      <c r="H46" s="11">
        <v>0</v>
      </c>
      <c r="I46" s="11">
        <v>0</v>
      </c>
      <c r="J46" s="11">
        <v>9124</v>
      </c>
      <c r="K46" s="11">
        <v>5.13</v>
      </c>
      <c r="L46" s="11">
        <v>-1331</v>
      </c>
      <c r="M46" s="11">
        <v>-0.75</v>
      </c>
      <c r="N46" s="11">
        <v>7142</v>
      </c>
      <c r="O46" s="11">
        <v>4.01</v>
      </c>
    </row>
    <row r="47" spans="1:15" s="9" customFormat="1" x14ac:dyDescent="0.2">
      <c r="A47" s="9" t="s">
        <v>88</v>
      </c>
      <c r="B47" s="9" t="s">
        <v>331</v>
      </c>
      <c r="C47" s="9" t="s">
        <v>89</v>
      </c>
      <c r="D47" s="10">
        <v>6429</v>
      </c>
      <c r="E47" s="10">
        <v>0</v>
      </c>
      <c r="F47" s="10">
        <v>6429</v>
      </c>
      <c r="G47" s="11">
        <v>288417</v>
      </c>
      <c r="H47" s="11">
        <v>0</v>
      </c>
      <c r="I47" s="11">
        <v>0</v>
      </c>
      <c r="J47" s="11">
        <v>288417</v>
      </c>
      <c r="K47" s="11">
        <v>44.86</v>
      </c>
      <c r="L47" s="11">
        <v>-33553</v>
      </c>
      <c r="M47" s="11">
        <v>-5.22</v>
      </c>
      <c r="N47" s="11">
        <v>246353</v>
      </c>
      <c r="O47" s="11">
        <v>38.32</v>
      </c>
    </row>
    <row r="48" spans="1:15" s="9" customFormat="1" x14ac:dyDescent="0.2">
      <c r="A48" s="9" t="s">
        <v>90</v>
      </c>
      <c r="B48" s="9" t="s">
        <v>331</v>
      </c>
      <c r="C48" s="9" t="s">
        <v>91</v>
      </c>
      <c r="D48" s="10">
        <v>2030</v>
      </c>
      <c r="E48" s="10">
        <v>0</v>
      </c>
      <c r="F48" s="10">
        <v>2030</v>
      </c>
      <c r="G48" s="11">
        <v>32191</v>
      </c>
      <c r="H48" s="11">
        <v>0</v>
      </c>
      <c r="I48" s="11">
        <v>0</v>
      </c>
      <c r="J48" s="11">
        <v>32191</v>
      </c>
      <c r="K48" s="11">
        <v>15.86</v>
      </c>
      <c r="L48" s="11">
        <v>24197</v>
      </c>
      <c r="M48" s="11">
        <v>11.92</v>
      </c>
      <c r="N48" s="11">
        <v>25613</v>
      </c>
      <c r="O48" s="11">
        <v>12.62</v>
      </c>
    </row>
    <row r="49" spans="1:15" s="9" customFormat="1" x14ac:dyDescent="0.2">
      <c r="A49" s="9" t="s">
        <v>92</v>
      </c>
      <c r="B49" s="9" t="s">
        <v>331</v>
      </c>
      <c r="C49" s="9" t="s">
        <v>93</v>
      </c>
      <c r="D49" s="10">
        <v>540</v>
      </c>
      <c r="E49" s="10">
        <v>0</v>
      </c>
      <c r="F49" s="10">
        <v>540</v>
      </c>
      <c r="G49" s="11">
        <v>18528</v>
      </c>
      <c r="H49" s="11">
        <v>0</v>
      </c>
      <c r="I49" s="11">
        <v>0</v>
      </c>
      <c r="J49" s="11">
        <v>18528</v>
      </c>
      <c r="K49" s="11">
        <v>34.31</v>
      </c>
      <c r="L49" s="11">
        <v>14518</v>
      </c>
      <c r="M49" s="11">
        <v>26.89</v>
      </c>
      <c r="N49" s="11">
        <v>14292</v>
      </c>
      <c r="O49" s="11">
        <v>26.47</v>
      </c>
    </row>
    <row r="50" spans="1:15" s="9" customFormat="1" x14ac:dyDescent="0.2">
      <c r="A50" s="9" t="s">
        <v>94</v>
      </c>
      <c r="B50" s="9" t="s">
        <v>331</v>
      </c>
      <c r="C50" s="9" t="s">
        <v>95</v>
      </c>
      <c r="D50" s="10">
        <v>4641</v>
      </c>
      <c r="E50" s="10">
        <v>0</v>
      </c>
      <c r="F50" s="10">
        <v>4641</v>
      </c>
      <c r="G50" s="11">
        <v>207886</v>
      </c>
      <c r="H50" s="11">
        <v>0</v>
      </c>
      <c r="I50" s="11">
        <v>0</v>
      </c>
      <c r="J50" s="11">
        <v>207886</v>
      </c>
      <c r="K50" s="11">
        <v>44.79</v>
      </c>
      <c r="L50" s="11">
        <v>-841188</v>
      </c>
      <c r="M50" s="11">
        <v>-181.25</v>
      </c>
      <c r="N50" s="11">
        <v>209388</v>
      </c>
      <c r="O50" s="11">
        <v>45.12</v>
      </c>
    </row>
    <row r="51" spans="1:15" s="9" customFormat="1" x14ac:dyDescent="0.2">
      <c r="A51" s="9" t="s">
        <v>96</v>
      </c>
      <c r="B51" s="9" t="s">
        <v>331</v>
      </c>
      <c r="C51" s="9" t="s">
        <v>97</v>
      </c>
      <c r="D51" s="10">
        <v>0</v>
      </c>
      <c r="E51" s="10">
        <v>0</v>
      </c>
      <c r="F51" s="10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-464</v>
      </c>
      <c r="M51" s="11">
        <v>0</v>
      </c>
      <c r="N51" s="11">
        <v>0</v>
      </c>
      <c r="O51" s="11">
        <v>0</v>
      </c>
    </row>
    <row r="52" spans="1:15" s="9" customFormat="1" x14ac:dyDescent="0.2">
      <c r="A52" s="9" t="s">
        <v>98</v>
      </c>
      <c r="B52" s="9" t="s">
        <v>331</v>
      </c>
      <c r="C52" s="9" t="s">
        <v>99</v>
      </c>
      <c r="D52" s="10">
        <v>13700</v>
      </c>
      <c r="E52" s="10">
        <v>0</v>
      </c>
      <c r="F52" s="10">
        <v>13700</v>
      </c>
      <c r="G52" s="11">
        <v>958134</v>
      </c>
      <c r="H52" s="11">
        <v>0</v>
      </c>
      <c r="I52" s="11">
        <v>0</v>
      </c>
      <c r="J52" s="11">
        <v>958134</v>
      </c>
      <c r="K52" s="11">
        <v>69.94</v>
      </c>
      <c r="L52" s="11">
        <v>881563</v>
      </c>
      <c r="M52" s="11">
        <v>64.349999999999994</v>
      </c>
      <c r="N52" s="11">
        <v>838941</v>
      </c>
      <c r="O52" s="11">
        <v>61.24</v>
      </c>
    </row>
    <row r="53" spans="1:15" s="9" customFormat="1" x14ac:dyDescent="0.2">
      <c r="A53" s="9" t="s">
        <v>100</v>
      </c>
      <c r="B53" s="9" t="s">
        <v>331</v>
      </c>
      <c r="C53" s="9" t="s">
        <v>101</v>
      </c>
      <c r="D53" s="10">
        <v>6904</v>
      </c>
      <c r="E53" s="10">
        <v>0</v>
      </c>
      <c r="F53" s="10">
        <v>6904</v>
      </c>
      <c r="G53" s="11">
        <v>78919</v>
      </c>
      <c r="H53" s="11">
        <v>0</v>
      </c>
      <c r="I53" s="11">
        <v>0</v>
      </c>
      <c r="J53" s="11">
        <v>78919</v>
      </c>
      <c r="K53" s="11">
        <v>11.43</v>
      </c>
      <c r="L53" s="11">
        <v>60123</v>
      </c>
      <c r="M53" s="11">
        <v>8.7100000000000009</v>
      </c>
      <c r="N53" s="11">
        <v>60313</v>
      </c>
      <c r="O53" s="11">
        <v>8.74</v>
      </c>
    </row>
    <row r="54" spans="1:15" s="9" customFormat="1" x14ac:dyDescent="0.2">
      <c r="A54" s="9" t="s">
        <v>102</v>
      </c>
      <c r="B54" s="9" t="s">
        <v>331</v>
      </c>
      <c r="C54" s="9" t="s">
        <v>103</v>
      </c>
      <c r="D54" s="10">
        <v>2</v>
      </c>
      <c r="E54" s="10">
        <v>0</v>
      </c>
      <c r="F54" s="10">
        <v>2</v>
      </c>
      <c r="G54" s="11">
        <v>100</v>
      </c>
      <c r="H54" s="11">
        <v>0</v>
      </c>
      <c r="I54" s="11">
        <v>0</v>
      </c>
      <c r="J54" s="11">
        <v>100</v>
      </c>
      <c r="K54" s="11">
        <v>50</v>
      </c>
      <c r="L54" s="11">
        <v>-26354</v>
      </c>
      <c r="M54" s="11">
        <v>-13177</v>
      </c>
      <c r="N54" s="11">
        <v>50</v>
      </c>
      <c r="O54" s="11">
        <v>25</v>
      </c>
    </row>
    <row r="55" spans="1:15" s="9" customFormat="1" x14ac:dyDescent="0.2">
      <c r="A55" s="9" t="s">
        <v>104</v>
      </c>
      <c r="B55" s="9" t="s">
        <v>331</v>
      </c>
      <c r="C55" s="9" t="s">
        <v>105</v>
      </c>
      <c r="D55" s="10">
        <v>6940</v>
      </c>
      <c r="E55" s="10">
        <v>0</v>
      </c>
      <c r="F55" s="10">
        <v>6940</v>
      </c>
      <c r="G55" s="11">
        <v>74226</v>
      </c>
      <c r="H55" s="11">
        <v>0</v>
      </c>
      <c r="I55" s="11">
        <v>0</v>
      </c>
      <c r="J55" s="11">
        <v>74226</v>
      </c>
      <c r="K55" s="11">
        <v>10.7</v>
      </c>
      <c r="L55" s="11">
        <v>58633</v>
      </c>
      <c r="M55" s="11">
        <v>8.4499999999999993</v>
      </c>
      <c r="N55" s="11">
        <v>57695</v>
      </c>
      <c r="O55" s="11">
        <v>8.31</v>
      </c>
    </row>
    <row r="56" spans="1:15" s="9" customFormat="1" x14ac:dyDescent="0.2">
      <c r="A56" s="9" t="s">
        <v>106</v>
      </c>
      <c r="B56" s="9" t="s">
        <v>331</v>
      </c>
      <c r="C56" s="9" t="s">
        <v>107</v>
      </c>
      <c r="D56" s="10">
        <v>0</v>
      </c>
      <c r="E56" s="10">
        <v>0</v>
      </c>
      <c r="F56" s="10">
        <v>0</v>
      </c>
      <c r="G56" s="11">
        <v>0</v>
      </c>
      <c r="H56" s="11">
        <v>0</v>
      </c>
      <c r="I56" s="11">
        <v>0</v>
      </c>
      <c r="J56" s="11">
        <v>0</v>
      </c>
      <c r="K56" s="11">
        <v>0</v>
      </c>
      <c r="L56" s="11">
        <v>-14</v>
      </c>
      <c r="M56" s="11">
        <v>0</v>
      </c>
      <c r="N56" s="11">
        <v>0</v>
      </c>
      <c r="O56" s="11">
        <v>0</v>
      </c>
    </row>
    <row r="57" spans="1:15" s="9" customFormat="1" x14ac:dyDescent="0.2">
      <c r="A57" s="9" t="s">
        <v>108</v>
      </c>
      <c r="B57" s="9" t="s">
        <v>331</v>
      </c>
      <c r="C57" s="9" t="s">
        <v>109</v>
      </c>
      <c r="D57" s="10">
        <v>0</v>
      </c>
      <c r="E57" s="10">
        <v>0</v>
      </c>
      <c r="F57" s="10">
        <v>0</v>
      </c>
      <c r="G57" s="11">
        <v>0</v>
      </c>
      <c r="H57" s="11">
        <v>0</v>
      </c>
      <c r="I57" s="11">
        <v>0</v>
      </c>
      <c r="J57" s="11">
        <v>0</v>
      </c>
      <c r="K57" s="11">
        <v>0</v>
      </c>
      <c r="L57" s="11">
        <v>-58824</v>
      </c>
      <c r="M57" s="11">
        <v>0</v>
      </c>
      <c r="N57" s="11">
        <v>0</v>
      </c>
      <c r="O57" s="11">
        <v>0</v>
      </c>
    </row>
    <row r="58" spans="1:15" s="9" customFormat="1" x14ac:dyDescent="0.2">
      <c r="A58" s="9" t="s">
        <v>110</v>
      </c>
      <c r="B58" s="9" t="s">
        <v>331</v>
      </c>
      <c r="C58" s="9" t="s">
        <v>111</v>
      </c>
      <c r="D58" s="10">
        <v>0</v>
      </c>
      <c r="E58" s="10">
        <v>0</v>
      </c>
      <c r="F58" s="10">
        <v>0</v>
      </c>
      <c r="G58" s="11">
        <v>0</v>
      </c>
      <c r="H58" s="11">
        <v>0</v>
      </c>
      <c r="I58" s="11">
        <v>0</v>
      </c>
      <c r="J58" s="11">
        <v>0</v>
      </c>
      <c r="K58" s="11">
        <v>0</v>
      </c>
      <c r="L58" s="11">
        <v>-131543</v>
      </c>
      <c r="M58" s="11">
        <v>0</v>
      </c>
      <c r="N58" s="11">
        <v>0</v>
      </c>
      <c r="O58" s="11">
        <v>0</v>
      </c>
    </row>
    <row r="59" spans="1:15" s="9" customFormat="1" x14ac:dyDescent="0.2">
      <c r="A59" s="9" t="s">
        <v>112</v>
      </c>
      <c r="B59" s="9" t="s">
        <v>331</v>
      </c>
      <c r="C59" s="9" t="s">
        <v>113</v>
      </c>
      <c r="D59" s="10">
        <v>1446</v>
      </c>
      <c r="E59" s="10">
        <v>0</v>
      </c>
      <c r="F59" s="10">
        <v>1446</v>
      </c>
      <c r="G59" s="11">
        <v>78088</v>
      </c>
      <c r="H59" s="11">
        <v>0</v>
      </c>
      <c r="I59" s="11">
        <v>0</v>
      </c>
      <c r="J59" s="11">
        <v>78088</v>
      </c>
      <c r="K59" s="11">
        <v>54</v>
      </c>
      <c r="L59" s="11">
        <v>13556</v>
      </c>
      <c r="M59" s="11">
        <v>9.3699999999999992</v>
      </c>
      <c r="N59" s="11">
        <v>65978</v>
      </c>
      <c r="O59" s="11">
        <v>45.63</v>
      </c>
    </row>
    <row r="60" spans="1:15" s="9" customFormat="1" x14ac:dyDescent="0.2">
      <c r="A60" s="9" t="s">
        <v>114</v>
      </c>
      <c r="B60" s="9" t="s">
        <v>331</v>
      </c>
      <c r="C60" s="9" t="s">
        <v>115</v>
      </c>
      <c r="D60" s="10">
        <v>4510</v>
      </c>
      <c r="E60" s="10">
        <v>0</v>
      </c>
      <c r="F60" s="10">
        <v>4510</v>
      </c>
      <c r="G60" s="11">
        <v>32524</v>
      </c>
      <c r="H60" s="11">
        <v>0</v>
      </c>
      <c r="I60" s="11">
        <v>0</v>
      </c>
      <c r="J60" s="11">
        <v>32524</v>
      </c>
      <c r="K60" s="11">
        <v>7.21</v>
      </c>
      <c r="L60" s="11">
        <v>-79870</v>
      </c>
      <c r="M60" s="11">
        <v>-17.71</v>
      </c>
      <c r="N60" s="11">
        <v>55616</v>
      </c>
      <c r="O60" s="11">
        <v>12.33</v>
      </c>
    </row>
    <row r="61" spans="1:15" s="9" customFormat="1" x14ac:dyDescent="0.2">
      <c r="A61" s="9" t="s">
        <v>116</v>
      </c>
      <c r="B61" s="9" t="s">
        <v>331</v>
      </c>
      <c r="C61" s="9" t="s">
        <v>117</v>
      </c>
      <c r="D61" s="10">
        <v>603</v>
      </c>
      <c r="E61" s="10">
        <v>-1</v>
      </c>
      <c r="F61" s="10">
        <v>602</v>
      </c>
      <c r="G61" s="11">
        <v>18174</v>
      </c>
      <c r="H61" s="11">
        <v>0</v>
      </c>
      <c r="I61" s="11">
        <v>-50</v>
      </c>
      <c r="J61" s="11">
        <v>18124</v>
      </c>
      <c r="K61" s="11">
        <v>30.11</v>
      </c>
      <c r="L61" s="11">
        <v>-92319</v>
      </c>
      <c r="M61" s="11">
        <v>-153.35</v>
      </c>
      <c r="N61" s="11">
        <v>13822</v>
      </c>
      <c r="O61" s="11">
        <v>22.96</v>
      </c>
    </row>
    <row r="62" spans="1:15" s="9" customFormat="1" x14ac:dyDescent="0.2">
      <c r="A62" s="9" t="s">
        <v>118</v>
      </c>
      <c r="B62" s="9" t="s">
        <v>331</v>
      </c>
      <c r="C62" s="9" t="s">
        <v>119</v>
      </c>
      <c r="D62" s="10">
        <v>0</v>
      </c>
      <c r="E62" s="10">
        <v>0</v>
      </c>
      <c r="F62" s="10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</row>
    <row r="63" spans="1:15" s="9" customFormat="1" x14ac:dyDescent="0.2">
      <c r="A63" s="9" t="s">
        <v>120</v>
      </c>
      <c r="B63" s="9" t="s">
        <v>331</v>
      </c>
      <c r="C63" s="9" t="s">
        <v>121</v>
      </c>
      <c r="D63" s="10">
        <v>0</v>
      </c>
      <c r="E63" s="10">
        <v>0</v>
      </c>
      <c r="F63" s="10">
        <v>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-88997</v>
      </c>
      <c r="M63" s="11">
        <v>0</v>
      </c>
      <c r="N63" s="11">
        <v>0</v>
      </c>
      <c r="O63" s="11">
        <v>0</v>
      </c>
    </row>
    <row r="64" spans="1:15" s="9" customFormat="1" x14ac:dyDescent="0.2">
      <c r="A64" s="9" t="s">
        <v>122</v>
      </c>
      <c r="B64" s="9" t="s">
        <v>331</v>
      </c>
      <c r="C64" s="9" t="s">
        <v>123</v>
      </c>
      <c r="D64" s="10">
        <v>0</v>
      </c>
      <c r="E64" s="10">
        <v>0</v>
      </c>
      <c r="F64" s="10">
        <v>0</v>
      </c>
      <c r="G64" s="11">
        <v>0</v>
      </c>
      <c r="H64" s="11">
        <v>0</v>
      </c>
      <c r="I64" s="11">
        <v>0</v>
      </c>
      <c r="J64" s="11">
        <v>0</v>
      </c>
      <c r="K64" s="11">
        <v>0</v>
      </c>
      <c r="L64" s="11">
        <v>-79779</v>
      </c>
      <c r="M64" s="11">
        <v>0</v>
      </c>
      <c r="N64" s="11">
        <v>0</v>
      </c>
      <c r="O64" s="11">
        <v>0</v>
      </c>
    </row>
    <row r="65" spans="1:15" s="9" customFormat="1" x14ac:dyDescent="0.2">
      <c r="A65" s="9" t="s">
        <v>124</v>
      </c>
      <c r="B65" s="9" t="s">
        <v>331</v>
      </c>
      <c r="C65" s="9" t="s">
        <v>125</v>
      </c>
      <c r="D65" s="10">
        <v>0</v>
      </c>
      <c r="E65" s="10">
        <v>0</v>
      </c>
      <c r="F65" s="10">
        <v>0</v>
      </c>
      <c r="G65" s="11">
        <v>0</v>
      </c>
      <c r="H65" s="11">
        <v>0</v>
      </c>
      <c r="I65" s="11">
        <v>0</v>
      </c>
      <c r="J65" s="11">
        <v>0</v>
      </c>
      <c r="K65" s="11">
        <v>0</v>
      </c>
      <c r="L65" s="11">
        <v>-124948</v>
      </c>
      <c r="M65" s="11">
        <v>0</v>
      </c>
      <c r="N65" s="11">
        <v>0</v>
      </c>
      <c r="O65" s="11">
        <v>0</v>
      </c>
    </row>
    <row r="66" spans="1:15" s="9" customFormat="1" x14ac:dyDescent="0.2">
      <c r="A66" s="9" t="s">
        <v>126</v>
      </c>
      <c r="B66" s="9" t="s">
        <v>331</v>
      </c>
      <c r="C66" s="9" t="s">
        <v>127</v>
      </c>
      <c r="D66" s="10">
        <v>0</v>
      </c>
      <c r="E66" s="10">
        <v>0</v>
      </c>
      <c r="F66" s="10">
        <v>0</v>
      </c>
      <c r="G66" s="11">
        <v>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</row>
    <row r="67" spans="1:15" s="9" customFormat="1" x14ac:dyDescent="0.2">
      <c r="A67" s="9" t="s">
        <v>128</v>
      </c>
      <c r="B67" s="9" t="s">
        <v>331</v>
      </c>
      <c r="C67" s="9" t="s">
        <v>129</v>
      </c>
      <c r="D67" s="10">
        <v>0</v>
      </c>
      <c r="E67" s="10">
        <v>0</v>
      </c>
      <c r="F67" s="10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-2143</v>
      </c>
      <c r="M67" s="11">
        <v>0</v>
      </c>
      <c r="N67" s="11">
        <v>0</v>
      </c>
      <c r="O67" s="11">
        <v>0</v>
      </c>
    </row>
    <row r="68" spans="1:15" s="9" customFormat="1" x14ac:dyDescent="0.2">
      <c r="A68" s="9" t="s">
        <v>130</v>
      </c>
      <c r="B68" s="9" t="s">
        <v>331</v>
      </c>
      <c r="C68" s="9" t="s">
        <v>131</v>
      </c>
      <c r="D68" s="10">
        <v>14783</v>
      </c>
      <c r="E68" s="10">
        <v>0</v>
      </c>
      <c r="F68" s="10">
        <v>14783</v>
      </c>
      <c r="G68" s="11">
        <v>149747</v>
      </c>
      <c r="H68" s="11">
        <v>0</v>
      </c>
      <c r="I68" s="11">
        <v>0</v>
      </c>
      <c r="J68" s="11">
        <v>149747</v>
      </c>
      <c r="K68" s="11">
        <v>10.130000000000001</v>
      </c>
      <c r="L68" s="11">
        <v>113688</v>
      </c>
      <c r="M68" s="11">
        <v>7.69</v>
      </c>
      <c r="N68" s="11">
        <v>113503</v>
      </c>
      <c r="O68" s="11">
        <v>7.68</v>
      </c>
    </row>
    <row r="69" spans="1:15" s="9" customFormat="1" x14ac:dyDescent="0.2">
      <c r="A69" s="9" t="s">
        <v>132</v>
      </c>
      <c r="B69" s="9" t="s">
        <v>331</v>
      </c>
      <c r="C69" s="9" t="s">
        <v>133</v>
      </c>
      <c r="D69" s="10">
        <v>300</v>
      </c>
      <c r="E69" s="10">
        <v>0</v>
      </c>
      <c r="F69" s="10">
        <v>300</v>
      </c>
      <c r="G69" s="11">
        <v>15758</v>
      </c>
      <c r="H69" s="11">
        <v>0</v>
      </c>
      <c r="I69" s="11">
        <v>0</v>
      </c>
      <c r="J69" s="11">
        <v>15758</v>
      </c>
      <c r="K69" s="11">
        <v>52.53</v>
      </c>
      <c r="L69" s="11">
        <v>11657</v>
      </c>
      <c r="M69" s="11">
        <v>38.86</v>
      </c>
      <c r="N69" s="11">
        <v>11854</v>
      </c>
      <c r="O69" s="11">
        <v>39.51</v>
      </c>
    </row>
    <row r="70" spans="1:15" s="9" customFormat="1" x14ac:dyDescent="0.2">
      <c r="A70" s="9" t="s">
        <v>134</v>
      </c>
      <c r="B70" s="9" t="s">
        <v>331</v>
      </c>
      <c r="C70" s="9" t="s">
        <v>135</v>
      </c>
      <c r="D70" s="10">
        <v>45872</v>
      </c>
      <c r="E70" s="10">
        <v>0</v>
      </c>
      <c r="F70" s="10">
        <v>45872</v>
      </c>
      <c r="G70" s="11">
        <v>202003</v>
      </c>
      <c r="H70" s="11">
        <v>0</v>
      </c>
      <c r="I70" s="11">
        <v>0</v>
      </c>
      <c r="J70" s="11">
        <v>202003</v>
      </c>
      <c r="K70" s="11">
        <v>4.4000000000000004</v>
      </c>
      <c r="L70" s="11">
        <v>164850</v>
      </c>
      <c r="M70" s="11">
        <v>3.59</v>
      </c>
      <c r="N70" s="11">
        <v>174842</v>
      </c>
      <c r="O70" s="11">
        <v>3.81</v>
      </c>
    </row>
    <row r="71" spans="1:15" s="9" customFormat="1" x14ac:dyDescent="0.2">
      <c r="A71" s="9" t="s">
        <v>136</v>
      </c>
      <c r="B71" s="9" t="s">
        <v>331</v>
      </c>
      <c r="C71" s="9" t="s">
        <v>137</v>
      </c>
      <c r="D71" s="10">
        <v>0</v>
      </c>
      <c r="E71" s="10">
        <v>0</v>
      </c>
      <c r="F71" s="10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-2</v>
      </c>
      <c r="M71" s="11">
        <v>0</v>
      </c>
      <c r="N71" s="11">
        <v>0</v>
      </c>
      <c r="O71" s="11">
        <v>0</v>
      </c>
    </row>
    <row r="72" spans="1:15" s="9" customFormat="1" x14ac:dyDescent="0.2">
      <c r="A72" s="9" t="s">
        <v>138</v>
      </c>
      <c r="B72" s="9" t="s">
        <v>331</v>
      </c>
      <c r="C72" s="9" t="s">
        <v>139</v>
      </c>
      <c r="D72" s="10">
        <v>17200</v>
      </c>
      <c r="E72" s="10">
        <v>0</v>
      </c>
      <c r="F72" s="10">
        <v>17200</v>
      </c>
      <c r="G72" s="11">
        <v>18333</v>
      </c>
      <c r="H72" s="11">
        <v>0</v>
      </c>
      <c r="I72" s="11">
        <v>0</v>
      </c>
      <c r="J72" s="11">
        <v>18333</v>
      </c>
      <c r="K72" s="11">
        <v>1.07</v>
      </c>
      <c r="L72" s="11">
        <v>15507</v>
      </c>
      <c r="M72" s="11">
        <v>0.9</v>
      </c>
      <c r="N72" s="11">
        <v>15529</v>
      </c>
      <c r="O72" s="11">
        <v>0.9</v>
      </c>
    </row>
    <row r="73" spans="1:15" s="9" customFormat="1" x14ac:dyDescent="0.2">
      <c r="A73" s="9" t="s">
        <v>140</v>
      </c>
      <c r="B73" s="9" t="s">
        <v>331</v>
      </c>
      <c r="C73" s="9" t="s">
        <v>141</v>
      </c>
      <c r="D73" s="10">
        <v>0</v>
      </c>
      <c r="E73" s="10">
        <v>0</v>
      </c>
      <c r="F73" s="10">
        <v>0</v>
      </c>
      <c r="G73" s="11">
        <v>0</v>
      </c>
      <c r="H73" s="11">
        <v>0</v>
      </c>
      <c r="I73" s="11">
        <v>0</v>
      </c>
      <c r="J73" s="11">
        <v>0</v>
      </c>
      <c r="K73" s="11">
        <v>0</v>
      </c>
      <c r="L73" s="11">
        <v>-1</v>
      </c>
      <c r="M73" s="11">
        <v>0</v>
      </c>
      <c r="N73" s="11">
        <v>0</v>
      </c>
      <c r="O73" s="11">
        <v>0</v>
      </c>
    </row>
    <row r="74" spans="1:15" s="9" customFormat="1" x14ac:dyDescent="0.2">
      <c r="A74" s="9" t="s">
        <v>142</v>
      </c>
      <c r="B74" s="9" t="s">
        <v>331</v>
      </c>
      <c r="C74" s="9" t="s">
        <v>143</v>
      </c>
      <c r="D74" s="10">
        <v>0</v>
      </c>
      <c r="E74" s="10">
        <v>0</v>
      </c>
      <c r="F74" s="10">
        <v>0</v>
      </c>
      <c r="G74" s="11">
        <v>0</v>
      </c>
      <c r="H74" s="11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</row>
    <row r="75" spans="1:15" s="9" customFormat="1" x14ac:dyDescent="0.2">
      <c r="A75" s="9" t="s">
        <v>144</v>
      </c>
      <c r="B75" s="9" t="s">
        <v>331</v>
      </c>
      <c r="C75" s="9" t="s">
        <v>145</v>
      </c>
      <c r="D75" s="10">
        <v>0</v>
      </c>
      <c r="E75" s="10">
        <v>0</v>
      </c>
      <c r="F75" s="10">
        <v>0</v>
      </c>
      <c r="G75" s="11">
        <v>0</v>
      </c>
      <c r="H75" s="11">
        <v>0</v>
      </c>
      <c r="I75" s="11">
        <v>0</v>
      </c>
      <c r="J75" s="11">
        <v>0</v>
      </c>
      <c r="K75" s="11">
        <v>0</v>
      </c>
      <c r="L75" s="11">
        <v>-164</v>
      </c>
      <c r="M75" s="11">
        <v>0</v>
      </c>
      <c r="N75" s="11">
        <v>0</v>
      </c>
      <c r="O75" s="11">
        <v>0</v>
      </c>
    </row>
    <row r="76" spans="1:15" s="9" customFormat="1" x14ac:dyDescent="0.2">
      <c r="A76" s="9" t="s">
        <v>146</v>
      </c>
      <c r="B76" s="9" t="s">
        <v>331</v>
      </c>
      <c r="C76" s="9" t="s">
        <v>147</v>
      </c>
      <c r="D76" s="10">
        <v>0</v>
      </c>
      <c r="E76" s="10">
        <v>0</v>
      </c>
      <c r="F76" s="10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-190</v>
      </c>
      <c r="M76" s="11">
        <v>0</v>
      </c>
      <c r="N76" s="11">
        <v>0</v>
      </c>
      <c r="O76" s="11">
        <v>0</v>
      </c>
    </row>
    <row r="77" spans="1:15" s="9" customFormat="1" x14ac:dyDescent="0.2">
      <c r="A77" s="9" t="s">
        <v>148</v>
      </c>
      <c r="B77" s="9" t="s">
        <v>331</v>
      </c>
      <c r="C77" s="9" t="s">
        <v>149</v>
      </c>
      <c r="D77" s="10">
        <v>0</v>
      </c>
      <c r="E77" s="10">
        <v>0</v>
      </c>
      <c r="F77" s="10">
        <v>0</v>
      </c>
      <c r="G77" s="11">
        <v>0</v>
      </c>
      <c r="H77" s="11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</row>
    <row r="78" spans="1:15" s="9" customFormat="1" x14ac:dyDescent="0.2">
      <c r="A78" s="9" t="s">
        <v>150</v>
      </c>
      <c r="B78" s="9" t="s">
        <v>331</v>
      </c>
      <c r="C78" s="9" t="s">
        <v>151</v>
      </c>
      <c r="D78" s="10">
        <v>0</v>
      </c>
      <c r="E78" s="10">
        <v>0</v>
      </c>
      <c r="F78" s="10">
        <v>0</v>
      </c>
      <c r="G78" s="11">
        <v>0</v>
      </c>
      <c r="H78" s="11">
        <v>0</v>
      </c>
      <c r="I78" s="11">
        <v>0</v>
      </c>
      <c r="J78" s="11">
        <v>0</v>
      </c>
      <c r="K78" s="11">
        <v>0</v>
      </c>
      <c r="L78" s="11">
        <v>-385</v>
      </c>
      <c r="M78" s="11">
        <v>0</v>
      </c>
      <c r="N78" s="11">
        <v>0</v>
      </c>
      <c r="O78" s="11">
        <v>0</v>
      </c>
    </row>
    <row r="79" spans="1:15" s="9" customFormat="1" x14ac:dyDescent="0.2">
      <c r="A79" s="9" t="s">
        <v>152</v>
      </c>
      <c r="B79" s="9" t="s">
        <v>331</v>
      </c>
      <c r="C79" s="9" t="s">
        <v>153</v>
      </c>
      <c r="D79" s="10">
        <v>0</v>
      </c>
      <c r="E79" s="10">
        <v>0</v>
      </c>
      <c r="F79" s="10">
        <v>0</v>
      </c>
      <c r="G79" s="11">
        <v>0</v>
      </c>
      <c r="H79" s="11">
        <v>0</v>
      </c>
      <c r="I79" s="11">
        <v>0</v>
      </c>
      <c r="J79" s="11">
        <v>0</v>
      </c>
      <c r="K79" s="11">
        <v>0</v>
      </c>
      <c r="L79" s="11">
        <v>-126</v>
      </c>
      <c r="M79" s="11">
        <v>0</v>
      </c>
      <c r="N79" s="11">
        <v>0</v>
      </c>
      <c r="O79" s="11">
        <v>0</v>
      </c>
    </row>
    <row r="80" spans="1:15" s="9" customFormat="1" x14ac:dyDescent="0.2">
      <c r="A80" s="9" t="s">
        <v>154</v>
      </c>
      <c r="B80" s="9" t="s">
        <v>331</v>
      </c>
      <c r="C80" s="9" t="s">
        <v>129</v>
      </c>
      <c r="D80" s="10">
        <v>0</v>
      </c>
      <c r="E80" s="10">
        <v>0</v>
      </c>
      <c r="F80" s="10">
        <v>0</v>
      </c>
      <c r="G80" s="11">
        <v>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</row>
    <row r="81" spans="1:15" s="9" customFormat="1" x14ac:dyDescent="0.2">
      <c r="A81" s="9" t="s">
        <v>155</v>
      </c>
      <c r="B81" s="9" t="s">
        <v>331</v>
      </c>
      <c r="C81" s="9" t="s">
        <v>156</v>
      </c>
      <c r="D81" s="10">
        <v>0</v>
      </c>
      <c r="E81" s="10">
        <v>0</v>
      </c>
      <c r="F81" s="10">
        <v>0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-14</v>
      </c>
      <c r="M81" s="11">
        <v>0</v>
      </c>
      <c r="N81" s="11">
        <v>0</v>
      </c>
      <c r="O81" s="11">
        <v>0</v>
      </c>
    </row>
    <row r="82" spans="1:15" s="9" customFormat="1" x14ac:dyDescent="0.2">
      <c r="A82" s="9" t="s">
        <v>157</v>
      </c>
      <c r="B82" s="9" t="s">
        <v>331</v>
      </c>
      <c r="C82" s="9" t="s">
        <v>158</v>
      </c>
      <c r="D82" s="10">
        <v>0</v>
      </c>
      <c r="E82" s="10">
        <v>0</v>
      </c>
      <c r="F82" s="10">
        <v>0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</row>
    <row r="83" spans="1:15" s="9" customFormat="1" x14ac:dyDescent="0.2">
      <c r="A83" s="9" t="s">
        <v>159</v>
      </c>
      <c r="B83" s="9" t="s">
        <v>331</v>
      </c>
      <c r="C83" s="9" t="s">
        <v>160</v>
      </c>
      <c r="D83" s="10">
        <v>0</v>
      </c>
      <c r="E83" s="10">
        <v>0</v>
      </c>
      <c r="F83" s="10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</row>
    <row r="84" spans="1:15" s="9" customFormat="1" x14ac:dyDescent="0.2">
      <c r="A84" s="9" t="s">
        <v>161</v>
      </c>
      <c r="B84" s="9" t="s">
        <v>331</v>
      </c>
      <c r="C84" s="9" t="s">
        <v>162</v>
      </c>
      <c r="D84" s="10">
        <v>1050</v>
      </c>
      <c r="E84" s="10">
        <v>-10</v>
      </c>
      <c r="F84" s="10">
        <v>1040</v>
      </c>
      <c r="G84" s="11">
        <v>751068</v>
      </c>
      <c r="H84" s="11">
        <v>0</v>
      </c>
      <c r="I84" s="11">
        <v>-1550</v>
      </c>
      <c r="J84" s="11">
        <v>749518</v>
      </c>
      <c r="K84" s="11">
        <v>720.69</v>
      </c>
      <c r="L84" s="11">
        <v>574707</v>
      </c>
      <c r="M84" s="11">
        <v>552.6</v>
      </c>
      <c r="N84" s="11">
        <v>576169</v>
      </c>
      <c r="O84" s="11">
        <v>554.01</v>
      </c>
    </row>
    <row r="85" spans="1:15" s="9" customFormat="1" x14ac:dyDescent="0.2">
      <c r="A85" s="9" t="s">
        <v>163</v>
      </c>
      <c r="B85" s="9" t="s">
        <v>331</v>
      </c>
      <c r="C85" s="9" t="s">
        <v>164</v>
      </c>
      <c r="D85" s="10">
        <v>0</v>
      </c>
      <c r="E85" s="10">
        <v>0</v>
      </c>
      <c r="F85" s="10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147</v>
      </c>
      <c r="M85" s="11">
        <v>0</v>
      </c>
      <c r="N85" s="11">
        <v>0</v>
      </c>
      <c r="O85" s="11">
        <v>0</v>
      </c>
    </row>
    <row r="86" spans="1:15" s="9" customFormat="1" x14ac:dyDescent="0.2">
      <c r="A86" s="9" t="s">
        <v>165</v>
      </c>
      <c r="B86" s="9" t="s">
        <v>331</v>
      </c>
      <c r="C86" s="9" t="s">
        <v>166</v>
      </c>
      <c r="D86" s="10">
        <v>0</v>
      </c>
      <c r="E86" s="10">
        <v>0</v>
      </c>
      <c r="F86" s="10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-5</v>
      </c>
      <c r="M86" s="11">
        <v>0</v>
      </c>
      <c r="N86" s="11">
        <v>0</v>
      </c>
      <c r="O86" s="11">
        <v>0</v>
      </c>
    </row>
    <row r="87" spans="1:15" s="9" customFormat="1" x14ac:dyDescent="0.2">
      <c r="A87" s="9" t="s">
        <v>167</v>
      </c>
      <c r="B87" s="9" t="s">
        <v>331</v>
      </c>
      <c r="C87" s="9" t="s">
        <v>168</v>
      </c>
      <c r="D87" s="10">
        <v>0</v>
      </c>
      <c r="E87" s="10">
        <v>0</v>
      </c>
      <c r="F87" s="10">
        <v>0</v>
      </c>
      <c r="G87" s="11">
        <v>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</row>
    <row r="88" spans="1:15" s="9" customFormat="1" x14ac:dyDescent="0.2">
      <c r="A88" s="9" t="s">
        <v>169</v>
      </c>
      <c r="B88" s="9" t="s">
        <v>331</v>
      </c>
      <c r="C88" s="9" t="s">
        <v>170</v>
      </c>
      <c r="D88" s="10">
        <v>0</v>
      </c>
      <c r="E88" s="10">
        <v>0</v>
      </c>
      <c r="F88" s="10">
        <v>0</v>
      </c>
      <c r="G88" s="11">
        <v>0</v>
      </c>
      <c r="H88" s="11">
        <v>0</v>
      </c>
      <c r="I88" s="11">
        <v>0</v>
      </c>
      <c r="J88" s="11">
        <v>0</v>
      </c>
      <c r="K88" s="11">
        <v>0</v>
      </c>
      <c r="L88" s="11">
        <v>505</v>
      </c>
      <c r="M88" s="11">
        <v>0</v>
      </c>
      <c r="N88" s="11">
        <v>0</v>
      </c>
      <c r="O88" s="11">
        <v>0</v>
      </c>
    </row>
    <row r="89" spans="1:15" s="9" customFormat="1" x14ac:dyDescent="0.2">
      <c r="A89" s="9" t="s">
        <v>171</v>
      </c>
      <c r="B89" s="9" t="s">
        <v>331</v>
      </c>
      <c r="C89" s="9" t="s">
        <v>172</v>
      </c>
      <c r="D89" s="10">
        <v>0</v>
      </c>
      <c r="E89" s="10">
        <v>0</v>
      </c>
      <c r="F89" s="10">
        <v>0</v>
      </c>
      <c r="G89" s="11">
        <v>0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</row>
    <row r="90" spans="1:15" s="9" customFormat="1" x14ac:dyDescent="0.2">
      <c r="A90" s="9" t="s">
        <v>173</v>
      </c>
      <c r="B90" s="9" t="s">
        <v>331</v>
      </c>
      <c r="C90" s="9" t="s">
        <v>174</v>
      </c>
      <c r="D90" s="10">
        <v>0</v>
      </c>
      <c r="E90" s="10">
        <v>0</v>
      </c>
      <c r="F90" s="10">
        <v>0</v>
      </c>
      <c r="G90" s="11">
        <v>0</v>
      </c>
      <c r="H90" s="11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</row>
    <row r="91" spans="1:15" s="9" customFormat="1" x14ac:dyDescent="0.2">
      <c r="A91" s="9" t="s">
        <v>175</v>
      </c>
      <c r="B91" s="9" t="s">
        <v>331</v>
      </c>
      <c r="C91" s="9" t="s">
        <v>176</v>
      </c>
      <c r="D91" s="10">
        <v>0</v>
      </c>
      <c r="E91" s="10">
        <v>0</v>
      </c>
      <c r="F91" s="10">
        <v>0</v>
      </c>
      <c r="G91" s="11">
        <v>0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</row>
    <row r="92" spans="1:15" s="9" customFormat="1" x14ac:dyDescent="0.2">
      <c r="A92" s="9" t="s">
        <v>177</v>
      </c>
      <c r="B92" s="9" t="s">
        <v>331</v>
      </c>
      <c r="C92" s="9" t="s">
        <v>178</v>
      </c>
      <c r="D92" s="10">
        <v>0</v>
      </c>
      <c r="E92" s="10">
        <v>0</v>
      </c>
      <c r="F92" s="10">
        <v>0</v>
      </c>
      <c r="G92" s="11">
        <v>0</v>
      </c>
      <c r="H92" s="11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</row>
    <row r="93" spans="1:15" s="9" customFormat="1" x14ac:dyDescent="0.2">
      <c r="A93" s="9" t="s">
        <v>179</v>
      </c>
      <c r="B93" s="9" t="s">
        <v>331</v>
      </c>
      <c r="C93" s="9" t="s">
        <v>180</v>
      </c>
      <c r="D93" s="10">
        <v>0</v>
      </c>
      <c r="E93" s="10">
        <v>0</v>
      </c>
      <c r="F93" s="10">
        <v>0</v>
      </c>
      <c r="G93" s="11">
        <v>0</v>
      </c>
      <c r="H93" s="11">
        <v>0</v>
      </c>
      <c r="I93" s="11">
        <v>0</v>
      </c>
      <c r="J93" s="11">
        <v>0</v>
      </c>
      <c r="K93" s="11">
        <v>0</v>
      </c>
      <c r="L93" s="11">
        <v>-352</v>
      </c>
      <c r="M93" s="11">
        <v>0</v>
      </c>
      <c r="N93" s="11">
        <v>0</v>
      </c>
      <c r="O93" s="11">
        <v>0</v>
      </c>
    </row>
    <row r="94" spans="1:15" s="9" customFormat="1" x14ac:dyDescent="0.2">
      <c r="A94" s="9" t="s">
        <v>181</v>
      </c>
      <c r="B94" s="9" t="s">
        <v>331</v>
      </c>
      <c r="C94" s="9" t="s">
        <v>182</v>
      </c>
      <c r="D94" s="10">
        <v>0</v>
      </c>
      <c r="E94" s="10">
        <v>0</v>
      </c>
      <c r="F94" s="10">
        <v>0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-6171</v>
      </c>
      <c r="M94" s="11">
        <v>0</v>
      </c>
      <c r="N94" s="11">
        <v>0</v>
      </c>
      <c r="O94" s="11">
        <v>0</v>
      </c>
    </row>
    <row r="95" spans="1:15" s="9" customFormat="1" x14ac:dyDescent="0.2">
      <c r="A95" s="9" t="s">
        <v>183</v>
      </c>
      <c r="B95" s="9" t="s">
        <v>331</v>
      </c>
      <c r="C95" s="9" t="s">
        <v>184</v>
      </c>
      <c r="D95" s="10">
        <v>15300</v>
      </c>
      <c r="E95" s="10">
        <v>0</v>
      </c>
      <c r="F95" s="10">
        <v>15300</v>
      </c>
      <c r="G95" s="11">
        <v>914615</v>
      </c>
      <c r="H95" s="11">
        <v>0</v>
      </c>
      <c r="I95" s="11">
        <v>0</v>
      </c>
      <c r="J95" s="11">
        <v>914615</v>
      </c>
      <c r="K95" s="11">
        <v>59.78</v>
      </c>
      <c r="L95" s="11">
        <v>680543</v>
      </c>
      <c r="M95" s="11">
        <v>44.48</v>
      </c>
      <c r="N95" s="11">
        <v>615697</v>
      </c>
      <c r="O95" s="11">
        <v>40.24</v>
      </c>
    </row>
    <row r="96" spans="1:15" s="9" customFormat="1" x14ac:dyDescent="0.2">
      <c r="A96" s="9" t="s">
        <v>185</v>
      </c>
      <c r="B96" s="9" t="s">
        <v>331</v>
      </c>
      <c r="C96" s="9" t="s">
        <v>186</v>
      </c>
      <c r="D96" s="10">
        <v>11007</v>
      </c>
      <c r="E96" s="10">
        <v>0</v>
      </c>
      <c r="F96" s="10">
        <v>11007</v>
      </c>
      <c r="G96" s="11">
        <v>22609</v>
      </c>
      <c r="H96" s="11">
        <v>0</v>
      </c>
      <c r="I96" s="11">
        <v>0</v>
      </c>
      <c r="J96" s="11">
        <v>22609</v>
      </c>
      <c r="K96" s="11">
        <v>2.0499999999999998</v>
      </c>
      <c r="L96" s="11">
        <v>54220</v>
      </c>
      <c r="M96" s="11">
        <v>4.93</v>
      </c>
      <c r="N96" s="11">
        <v>10217</v>
      </c>
      <c r="O96" s="11">
        <v>0.93</v>
      </c>
    </row>
    <row r="97" spans="1:15" s="9" customFormat="1" x14ac:dyDescent="0.2">
      <c r="A97" s="9" t="s">
        <v>187</v>
      </c>
      <c r="B97" s="9" t="s">
        <v>331</v>
      </c>
      <c r="C97" s="9" t="s">
        <v>188</v>
      </c>
      <c r="D97" s="10">
        <v>0</v>
      </c>
      <c r="E97" s="10">
        <v>0</v>
      </c>
      <c r="F97" s="10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</row>
    <row r="98" spans="1:15" s="9" customFormat="1" x14ac:dyDescent="0.2">
      <c r="A98" s="9" t="s">
        <v>189</v>
      </c>
      <c r="B98" s="9" t="s">
        <v>331</v>
      </c>
      <c r="C98" s="9" t="s">
        <v>190</v>
      </c>
      <c r="D98" s="10">
        <v>0</v>
      </c>
      <c r="E98" s="10">
        <v>0</v>
      </c>
      <c r="F98" s="10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-151</v>
      </c>
      <c r="M98" s="11">
        <v>0</v>
      </c>
      <c r="N98" s="11">
        <v>0</v>
      </c>
      <c r="O98" s="11">
        <v>0</v>
      </c>
    </row>
    <row r="99" spans="1:15" s="9" customFormat="1" x14ac:dyDescent="0.2">
      <c r="A99" s="9" t="s">
        <v>191</v>
      </c>
      <c r="B99" s="9" t="s">
        <v>331</v>
      </c>
      <c r="C99" s="9" t="s">
        <v>192</v>
      </c>
      <c r="D99" s="10">
        <v>6450</v>
      </c>
      <c r="E99" s="10">
        <v>0</v>
      </c>
      <c r="F99" s="10">
        <v>6450</v>
      </c>
      <c r="G99" s="11">
        <v>259375</v>
      </c>
      <c r="H99" s="11">
        <v>0</v>
      </c>
      <c r="I99" s="11">
        <v>0</v>
      </c>
      <c r="J99" s="11">
        <v>259375</v>
      </c>
      <c r="K99" s="11">
        <v>40.21</v>
      </c>
      <c r="L99" s="11">
        <v>202852</v>
      </c>
      <c r="M99" s="11">
        <v>31.45</v>
      </c>
      <c r="N99" s="11">
        <v>204991</v>
      </c>
      <c r="O99" s="11">
        <v>31.78</v>
      </c>
    </row>
    <row r="100" spans="1:15" s="9" customFormat="1" x14ac:dyDescent="0.2">
      <c r="A100" s="9" t="s">
        <v>193</v>
      </c>
      <c r="B100" s="9" t="s">
        <v>331</v>
      </c>
      <c r="C100" s="9" t="s">
        <v>194</v>
      </c>
      <c r="D100" s="10">
        <v>0</v>
      </c>
      <c r="E100" s="10">
        <v>0</v>
      </c>
      <c r="F100" s="10">
        <v>0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-7483</v>
      </c>
      <c r="M100" s="11">
        <v>0</v>
      </c>
      <c r="N100" s="11">
        <v>0</v>
      </c>
      <c r="O100" s="11">
        <v>0</v>
      </c>
    </row>
    <row r="101" spans="1:15" s="9" customFormat="1" x14ac:dyDescent="0.2">
      <c r="A101" s="9" t="s">
        <v>195</v>
      </c>
      <c r="B101" s="9" t="s">
        <v>331</v>
      </c>
      <c r="C101" s="9" t="s">
        <v>196</v>
      </c>
      <c r="D101" s="10">
        <v>20</v>
      </c>
      <c r="E101" s="10">
        <v>0</v>
      </c>
      <c r="F101" s="10">
        <v>20</v>
      </c>
      <c r="G101" s="11">
        <v>1486</v>
      </c>
      <c r="H101" s="11">
        <v>0</v>
      </c>
      <c r="I101" s="11">
        <v>0</v>
      </c>
      <c r="J101" s="11">
        <v>1486</v>
      </c>
      <c r="K101" s="11">
        <v>74.3</v>
      </c>
      <c r="L101" s="11">
        <v>221</v>
      </c>
      <c r="M101" s="11">
        <v>11.05</v>
      </c>
      <c r="N101" s="11">
        <v>221</v>
      </c>
      <c r="O101" s="11">
        <v>11.05</v>
      </c>
    </row>
    <row r="102" spans="1:15" s="9" customFormat="1" x14ac:dyDescent="0.2">
      <c r="A102" s="9" t="s">
        <v>197</v>
      </c>
      <c r="B102" s="9" t="s">
        <v>331</v>
      </c>
      <c r="C102" s="9" t="s">
        <v>198</v>
      </c>
      <c r="D102" s="10">
        <v>0</v>
      </c>
      <c r="E102" s="10">
        <v>0</v>
      </c>
      <c r="F102" s="10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</row>
    <row r="103" spans="1:15" s="9" customFormat="1" x14ac:dyDescent="0.2">
      <c r="A103" s="9" t="s">
        <v>199</v>
      </c>
      <c r="B103" s="9" t="s">
        <v>331</v>
      </c>
      <c r="C103" s="9" t="s">
        <v>200</v>
      </c>
      <c r="D103" s="10">
        <v>1100</v>
      </c>
      <c r="E103" s="10">
        <v>0</v>
      </c>
      <c r="F103" s="10">
        <v>1100</v>
      </c>
      <c r="G103" s="11">
        <v>7420</v>
      </c>
      <c r="H103" s="11">
        <v>0</v>
      </c>
      <c r="I103" s="11">
        <v>0</v>
      </c>
      <c r="J103" s="11">
        <v>7420</v>
      </c>
      <c r="K103" s="11">
        <v>6.75</v>
      </c>
      <c r="L103" s="11">
        <v>6022</v>
      </c>
      <c r="M103" s="11">
        <v>5.47</v>
      </c>
      <c r="N103" s="11">
        <v>5974</v>
      </c>
      <c r="O103" s="11">
        <v>5.43</v>
      </c>
    </row>
    <row r="104" spans="1:15" x14ac:dyDescent="0.2">
      <c r="A104" t="s">
        <v>201</v>
      </c>
      <c r="B104" t="str">
        <f>VLOOKUP(A104,分群碼名稱!A:B,2)</f>
        <v>百貨</v>
      </c>
      <c r="C104" t="s">
        <v>87</v>
      </c>
      <c r="D104" s="2">
        <v>3200</v>
      </c>
      <c r="E104" s="2">
        <v>0</v>
      </c>
      <c r="F104" s="2">
        <v>3200</v>
      </c>
      <c r="G104" s="3">
        <v>33869</v>
      </c>
      <c r="H104" s="3">
        <v>0</v>
      </c>
      <c r="I104" s="3">
        <v>0</v>
      </c>
      <c r="J104" s="3">
        <v>33869</v>
      </c>
      <c r="K104" s="3">
        <v>10.58</v>
      </c>
      <c r="L104" s="3">
        <v>25380</v>
      </c>
      <c r="M104" s="3">
        <v>7.93</v>
      </c>
      <c r="N104" s="3">
        <v>26261</v>
      </c>
      <c r="O104" s="3">
        <v>8.2100000000000009</v>
      </c>
    </row>
    <row r="105" spans="1:15" x14ac:dyDescent="0.2">
      <c r="A105" t="s">
        <v>202</v>
      </c>
      <c r="B105" t="str">
        <f>VLOOKUP(A105,分群碼名稱!A:B,2)</f>
        <v>百貨</v>
      </c>
      <c r="C105" t="s">
        <v>203</v>
      </c>
      <c r="D105" s="2">
        <v>2700</v>
      </c>
      <c r="E105" s="2">
        <v>0</v>
      </c>
      <c r="F105" s="2">
        <v>2700</v>
      </c>
      <c r="G105" s="3">
        <v>7335</v>
      </c>
      <c r="H105" s="3">
        <v>0</v>
      </c>
      <c r="I105" s="3">
        <v>0</v>
      </c>
      <c r="J105" s="3">
        <v>7335</v>
      </c>
      <c r="K105" s="3">
        <v>2.72</v>
      </c>
      <c r="L105" s="3">
        <v>6214</v>
      </c>
      <c r="M105" s="3">
        <v>2.2999999999999998</v>
      </c>
      <c r="N105" s="3">
        <v>6219</v>
      </c>
      <c r="O105" s="3">
        <v>2.2999999999999998</v>
      </c>
    </row>
    <row r="106" spans="1:15" x14ac:dyDescent="0.2">
      <c r="A106" t="s">
        <v>204</v>
      </c>
      <c r="B106" t="str">
        <f>VLOOKUP(A106,分群碼名稱!A:B,2)</f>
        <v>百貨</v>
      </c>
      <c r="C106" t="s">
        <v>205</v>
      </c>
      <c r="D106" s="2">
        <v>19900</v>
      </c>
      <c r="E106" s="2">
        <v>0</v>
      </c>
      <c r="F106" s="2">
        <v>19900</v>
      </c>
      <c r="G106" s="3">
        <v>79650</v>
      </c>
      <c r="H106" s="3">
        <v>0</v>
      </c>
      <c r="I106" s="3">
        <v>0</v>
      </c>
      <c r="J106" s="3">
        <v>79650</v>
      </c>
      <c r="K106" s="3">
        <v>4</v>
      </c>
      <c r="L106" s="3">
        <v>61627</v>
      </c>
      <c r="M106" s="3">
        <v>3.1</v>
      </c>
      <c r="N106" s="3">
        <v>61686</v>
      </c>
      <c r="O106" s="3">
        <v>3.1</v>
      </c>
    </row>
    <row r="107" spans="1:15" x14ac:dyDescent="0.2">
      <c r="A107" t="s">
        <v>206</v>
      </c>
      <c r="B107" t="str">
        <f>VLOOKUP(A107,分群碼名稱!A:B,2)</f>
        <v>百貨</v>
      </c>
      <c r="C107" t="s">
        <v>207</v>
      </c>
      <c r="D107" s="2">
        <v>1400</v>
      </c>
      <c r="E107" s="2">
        <v>0</v>
      </c>
      <c r="F107" s="2">
        <v>1400</v>
      </c>
      <c r="G107" s="3">
        <v>2645</v>
      </c>
      <c r="H107" s="3">
        <v>0</v>
      </c>
      <c r="I107" s="3">
        <v>0</v>
      </c>
      <c r="J107" s="3">
        <v>2645</v>
      </c>
      <c r="K107" s="3">
        <v>1.89</v>
      </c>
      <c r="L107" s="3">
        <v>1760</v>
      </c>
      <c r="M107" s="3">
        <v>1.26</v>
      </c>
      <c r="N107" s="3">
        <v>2100</v>
      </c>
      <c r="O107" s="3">
        <v>1.5</v>
      </c>
    </row>
    <row r="108" spans="1:15" x14ac:dyDescent="0.2">
      <c r="A108" t="s">
        <v>208</v>
      </c>
      <c r="B108" t="str">
        <f>VLOOKUP(A108,分群碼名稱!A:B,2)</f>
        <v>百貨</v>
      </c>
      <c r="C108" t="s">
        <v>209</v>
      </c>
      <c r="D108" s="2">
        <v>0</v>
      </c>
      <c r="E108" s="2">
        <v>0</v>
      </c>
      <c r="F108" s="2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-5621</v>
      </c>
      <c r="M108" s="3">
        <v>0</v>
      </c>
      <c r="N108" s="3">
        <v>0</v>
      </c>
      <c r="O108" s="3">
        <v>0</v>
      </c>
    </row>
    <row r="109" spans="1:15" x14ac:dyDescent="0.2">
      <c r="A109" t="s">
        <v>210</v>
      </c>
      <c r="B109" t="str">
        <f>VLOOKUP(A109,分群碼名稱!A:B,2)</f>
        <v>百貨</v>
      </c>
      <c r="C109" t="s">
        <v>211</v>
      </c>
      <c r="D109" s="2">
        <v>0</v>
      </c>
      <c r="E109" s="2">
        <v>0</v>
      </c>
      <c r="F109" s="2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-33730</v>
      </c>
      <c r="M109" s="3">
        <v>0</v>
      </c>
      <c r="N109" s="3">
        <v>0</v>
      </c>
      <c r="O109" s="3">
        <v>0</v>
      </c>
    </row>
    <row r="110" spans="1:15" x14ac:dyDescent="0.2">
      <c r="A110" t="s">
        <v>212</v>
      </c>
      <c r="B110" t="str">
        <f>VLOOKUP(A110,分群碼名稱!A:B,2)</f>
        <v>百貨</v>
      </c>
      <c r="C110" t="s">
        <v>213</v>
      </c>
      <c r="D110" s="2">
        <v>0</v>
      </c>
      <c r="E110" s="2">
        <v>0</v>
      </c>
      <c r="F110" s="2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-2909</v>
      </c>
      <c r="M110" s="3">
        <v>0</v>
      </c>
      <c r="N110" s="3">
        <v>0</v>
      </c>
      <c r="O110" s="3">
        <v>0</v>
      </c>
    </row>
    <row r="111" spans="1:15" x14ac:dyDescent="0.2">
      <c r="A111" t="s">
        <v>214</v>
      </c>
      <c r="B111" t="str">
        <f>VLOOKUP(A111,分群碼名稱!A:B,2)</f>
        <v>百貨</v>
      </c>
      <c r="C111" t="s">
        <v>127</v>
      </c>
      <c r="D111" s="2">
        <v>0</v>
      </c>
      <c r="E111" s="2">
        <v>0</v>
      </c>
      <c r="F111" s="2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-404</v>
      </c>
      <c r="M111" s="3">
        <v>0</v>
      </c>
      <c r="N111" s="3">
        <v>0</v>
      </c>
      <c r="O111" s="3">
        <v>0</v>
      </c>
    </row>
    <row r="112" spans="1:15" x14ac:dyDescent="0.2">
      <c r="A112" t="s">
        <v>215</v>
      </c>
      <c r="B112" t="str">
        <f>VLOOKUP(A112,分群碼名稱!A:B,2)</f>
        <v>百貨</v>
      </c>
      <c r="C112" t="s">
        <v>216</v>
      </c>
      <c r="D112" s="2">
        <v>0</v>
      </c>
      <c r="E112" s="2">
        <v>0</v>
      </c>
      <c r="F112" s="2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-52</v>
      </c>
      <c r="M112" s="3">
        <v>0</v>
      </c>
      <c r="N112" s="3">
        <v>0</v>
      </c>
      <c r="O112" s="3">
        <v>0</v>
      </c>
    </row>
    <row r="113" spans="1:15" x14ac:dyDescent="0.2">
      <c r="A113" t="s">
        <v>217</v>
      </c>
      <c r="B113" t="str">
        <f>VLOOKUP(A113,分群碼名稱!A:B,2)</f>
        <v>百貨</v>
      </c>
      <c r="C113" t="s">
        <v>218</v>
      </c>
      <c r="D113" s="2">
        <v>1000</v>
      </c>
      <c r="E113" s="2">
        <v>0</v>
      </c>
      <c r="F113" s="2">
        <v>1000</v>
      </c>
      <c r="G113" s="3">
        <v>2802</v>
      </c>
      <c r="H113" s="3">
        <v>0</v>
      </c>
      <c r="I113" s="3">
        <v>0</v>
      </c>
      <c r="J113" s="3">
        <v>2802</v>
      </c>
      <c r="K113" s="3">
        <v>2.8</v>
      </c>
      <c r="L113" s="3">
        <v>2509</v>
      </c>
      <c r="M113" s="3">
        <v>2.5099999999999998</v>
      </c>
      <c r="N113" s="3">
        <v>2509</v>
      </c>
      <c r="O113" s="3">
        <v>2.5099999999999998</v>
      </c>
    </row>
    <row r="114" spans="1:15" x14ac:dyDescent="0.2">
      <c r="A114" t="s">
        <v>219</v>
      </c>
      <c r="B114" t="str">
        <f>VLOOKUP(A114,分群碼名稱!A:B,2)</f>
        <v>百貨</v>
      </c>
      <c r="C114" t="s">
        <v>220</v>
      </c>
      <c r="D114" s="2">
        <v>59317</v>
      </c>
      <c r="E114" s="2">
        <v>0</v>
      </c>
      <c r="F114" s="2">
        <v>59317</v>
      </c>
      <c r="G114" s="3">
        <v>65693</v>
      </c>
      <c r="H114" s="3">
        <v>0</v>
      </c>
      <c r="I114" s="3">
        <v>0</v>
      </c>
      <c r="J114" s="3">
        <v>65693</v>
      </c>
      <c r="K114" s="3">
        <v>1.1100000000000001</v>
      </c>
      <c r="L114" s="3">
        <v>61073</v>
      </c>
      <c r="M114" s="3">
        <v>1.03</v>
      </c>
      <c r="N114" s="3">
        <v>61176</v>
      </c>
      <c r="O114" s="3">
        <v>1.03</v>
      </c>
    </row>
    <row r="115" spans="1:15" x14ac:dyDescent="0.2">
      <c r="A115" t="s">
        <v>221</v>
      </c>
      <c r="B115" t="str">
        <f>VLOOKUP(A115,分群碼名稱!A:B,2)</f>
        <v>百貨</v>
      </c>
      <c r="C115" t="s">
        <v>137</v>
      </c>
      <c r="D115" s="2">
        <v>14000</v>
      </c>
      <c r="E115" s="2">
        <v>0</v>
      </c>
      <c r="F115" s="2">
        <v>14000</v>
      </c>
      <c r="G115" s="3">
        <v>51014</v>
      </c>
      <c r="H115" s="3">
        <v>0</v>
      </c>
      <c r="I115" s="3">
        <v>0</v>
      </c>
      <c r="J115" s="3">
        <v>51014</v>
      </c>
      <c r="K115" s="3">
        <v>3.64</v>
      </c>
      <c r="L115" s="3">
        <v>39817</v>
      </c>
      <c r="M115" s="3">
        <v>2.84</v>
      </c>
      <c r="N115" s="3">
        <v>39380</v>
      </c>
      <c r="O115" s="3">
        <v>2.81</v>
      </c>
    </row>
    <row r="116" spans="1:15" x14ac:dyDescent="0.2">
      <c r="A116" t="s">
        <v>222</v>
      </c>
      <c r="B116" t="str">
        <f>VLOOKUP(A116,分群碼名稱!A:B,2)</f>
        <v>百貨</v>
      </c>
      <c r="C116" t="s">
        <v>223</v>
      </c>
      <c r="D116" s="2">
        <v>0</v>
      </c>
      <c r="E116" s="2">
        <v>0</v>
      </c>
      <c r="F116" s="2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-1628</v>
      </c>
      <c r="M116" s="3">
        <v>0</v>
      </c>
      <c r="N116" s="3">
        <v>0</v>
      </c>
      <c r="O116" s="3">
        <v>0</v>
      </c>
    </row>
    <row r="117" spans="1:15" x14ac:dyDescent="0.2">
      <c r="A117" t="s">
        <v>224</v>
      </c>
      <c r="B117" t="str">
        <f>VLOOKUP(A117,分群碼名稱!A:B,2)</f>
        <v>百貨</v>
      </c>
      <c r="C117" t="s">
        <v>225</v>
      </c>
      <c r="D117" s="2">
        <v>0</v>
      </c>
      <c r="E117" s="2">
        <v>0</v>
      </c>
      <c r="F117" s="2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75768</v>
      </c>
      <c r="M117" s="3">
        <v>0</v>
      </c>
      <c r="N117" s="3">
        <v>0</v>
      </c>
      <c r="O117" s="3">
        <v>0</v>
      </c>
    </row>
    <row r="118" spans="1:15" x14ac:dyDescent="0.2">
      <c r="A118" t="s">
        <v>226</v>
      </c>
      <c r="B118" t="str">
        <f>VLOOKUP(A118,分群碼名稱!A:B,2)</f>
        <v>百貨</v>
      </c>
      <c r="C118" t="s">
        <v>143</v>
      </c>
      <c r="D118" s="2">
        <v>0</v>
      </c>
      <c r="E118" s="2">
        <v>0</v>
      </c>
      <c r="F118" s="2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419214</v>
      </c>
      <c r="M118" s="3">
        <v>0</v>
      </c>
      <c r="N118" s="3">
        <v>0</v>
      </c>
      <c r="O118" s="3">
        <v>0</v>
      </c>
    </row>
    <row r="119" spans="1:15" x14ac:dyDescent="0.2">
      <c r="A119" t="s">
        <v>227</v>
      </c>
      <c r="B119" t="str">
        <f>VLOOKUP(A119,分群碼名稱!A:B,2)</f>
        <v>百貨</v>
      </c>
      <c r="C119" t="s">
        <v>228</v>
      </c>
      <c r="D119" s="2">
        <v>0</v>
      </c>
      <c r="E119" s="2">
        <v>0</v>
      </c>
      <c r="F119" s="2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</row>
    <row r="120" spans="1:15" x14ac:dyDescent="0.2">
      <c r="A120" t="s">
        <v>229</v>
      </c>
      <c r="B120" t="str">
        <f>VLOOKUP(A120,分群碼名稱!A:B,2)</f>
        <v>百貨</v>
      </c>
      <c r="C120" t="s">
        <v>230</v>
      </c>
      <c r="D120" s="2">
        <v>0</v>
      </c>
      <c r="E120" s="2">
        <v>0</v>
      </c>
      <c r="F120" s="2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-88</v>
      </c>
      <c r="M120" s="3">
        <v>0</v>
      </c>
      <c r="N120" s="3">
        <v>0</v>
      </c>
      <c r="O120" s="3">
        <v>0</v>
      </c>
    </row>
    <row r="121" spans="1:15" x14ac:dyDescent="0.2">
      <c r="A121" t="s">
        <v>231</v>
      </c>
      <c r="B121" t="str">
        <f>VLOOKUP(A121,分群碼名稱!A:B,2)</f>
        <v>百貨</v>
      </c>
      <c r="C121" t="s">
        <v>232</v>
      </c>
      <c r="D121" s="2">
        <v>0</v>
      </c>
      <c r="E121" s="2">
        <v>0</v>
      </c>
      <c r="F121" s="2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</row>
    <row r="122" spans="1:15" x14ac:dyDescent="0.2">
      <c r="A122" t="s">
        <v>233</v>
      </c>
      <c r="B122" t="str">
        <f>VLOOKUP(A122,分群碼名稱!A:B,2)</f>
        <v>百貨</v>
      </c>
      <c r="C122" t="s">
        <v>147</v>
      </c>
      <c r="D122" s="2">
        <v>0</v>
      </c>
      <c r="E122" s="2">
        <v>0</v>
      </c>
      <c r="F122" s="2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</row>
    <row r="123" spans="1:15" x14ac:dyDescent="0.2">
      <c r="A123" t="s">
        <v>234</v>
      </c>
      <c r="B123" t="str">
        <f>VLOOKUP(A123,分群碼名稱!A:B,2)</f>
        <v>百貨</v>
      </c>
      <c r="C123" t="s">
        <v>235</v>
      </c>
      <c r="D123" s="2">
        <v>0</v>
      </c>
      <c r="E123" s="2">
        <v>0</v>
      </c>
      <c r="F123" s="2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-1</v>
      </c>
      <c r="M123" s="3">
        <v>0</v>
      </c>
      <c r="N123" s="3">
        <v>0</v>
      </c>
      <c r="O123" s="3">
        <v>0</v>
      </c>
    </row>
    <row r="124" spans="1:15" x14ac:dyDescent="0.2">
      <c r="A124" t="s">
        <v>236</v>
      </c>
      <c r="B124" t="str">
        <f>VLOOKUP(A124,分群碼名稱!A:B,2)</f>
        <v>百貨</v>
      </c>
      <c r="C124" t="s">
        <v>237</v>
      </c>
      <c r="D124" s="2">
        <v>0</v>
      </c>
      <c r="E124" s="2">
        <v>0</v>
      </c>
      <c r="F124" s="2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</row>
    <row r="125" spans="1:15" x14ac:dyDescent="0.2">
      <c r="A125" t="s">
        <v>238</v>
      </c>
      <c r="B125" t="str">
        <f>VLOOKUP(A125,分群碼名稱!A:B,2)</f>
        <v>百貨</v>
      </c>
      <c r="C125" t="s">
        <v>239</v>
      </c>
      <c r="D125" s="2">
        <v>0</v>
      </c>
      <c r="E125" s="2">
        <v>0</v>
      </c>
      <c r="F125" s="2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-155</v>
      </c>
      <c r="M125" s="3">
        <v>0</v>
      </c>
      <c r="N125" s="3">
        <v>0</v>
      </c>
      <c r="O125" s="3">
        <v>0</v>
      </c>
    </row>
    <row r="126" spans="1:15" x14ac:dyDescent="0.2">
      <c r="A126" t="s">
        <v>240</v>
      </c>
      <c r="B126" t="str">
        <f>VLOOKUP(A126,分群碼名稱!A:B,2)</f>
        <v>百貨</v>
      </c>
      <c r="C126" t="s">
        <v>241</v>
      </c>
      <c r="D126" s="2">
        <v>0</v>
      </c>
      <c r="E126" s="2">
        <v>0</v>
      </c>
      <c r="F126" s="2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</row>
    <row r="127" spans="1:15" x14ac:dyDescent="0.2">
      <c r="A127" t="s">
        <v>242</v>
      </c>
      <c r="B127" t="str">
        <f>VLOOKUP(A127,分群碼名稱!A:B,2)</f>
        <v>百貨</v>
      </c>
      <c r="C127" t="s">
        <v>243</v>
      </c>
      <c r="D127" s="2">
        <v>0</v>
      </c>
      <c r="E127" s="2">
        <v>0</v>
      </c>
      <c r="F127" s="2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</row>
    <row r="128" spans="1:15" x14ac:dyDescent="0.2">
      <c r="A128" t="s">
        <v>244</v>
      </c>
      <c r="B128" t="str">
        <f>VLOOKUP(A128,分群碼名稱!A:B,2)</f>
        <v>百貨</v>
      </c>
      <c r="C128" t="s">
        <v>245</v>
      </c>
      <c r="D128" s="2">
        <v>0</v>
      </c>
      <c r="E128" s="2">
        <v>0</v>
      </c>
      <c r="F128" s="2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-339544</v>
      </c>
      <c r="M128" s="3">
        <v>0</v>
      </c>
      <c r="N128" s="3">
        <v>0</v>
      </c>
      <c r="O128" s="3">
        <v>0</v>
      </c>
    </row>
    <row r="129" spans="1:15" x14ac:dyDescent="0.2">
      <c r="A129" t="s">
        <v>246</v>
      </c>
      <c r="B129" t="str">
        <f>VLOOKUP(A129,分群碼名稱!A:B,2)</f>
        <v>百貨</v>
      </c>
      <c r="C129" t="s">
        <v>247</v>
      </c>
      <c r="D129" s="2">
        <v>0</v>
      </c>
      <c r="E129" s="2">
        <v>0</v>
      </c>
      <c r="F129" s="2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</row>
    <row r="130" spans="1:15" x14ac:dyDescent="0.2">
      <c r="A130" t="s">
        <v>248</v>
      </c>
      <c r="B130" t="str">
        <f>VLOOKUP(A130,分群碼名稱!A:B,2)</f>
        <v>百貨</v>
      </c>
      <c r="C130" t="s">
        <v>249</v>
      </c>
      <c r="D130" s="2">
        <v>0</v>
      </c>
      <c r="E130" s="2">
        <v>0</v>
      </c>
      <c r="F130" s="2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304</v>
      </c>
      <c r="M130" s="3">
        <v>0</v>
      </c>
      <c r="N130" s="3">
        <v>0</v>
      </c>
      <c r="O130" s="3">
        <v>0</v>
      </c>
    </row>
    <row r="131" spans="1:15" x14ac:dyDescent="0.2">
      <c r="A131" t="s">
        <v>250</v>
      </c>
      <c r="B131" t="str">
        <f>VLOOKUP(A131,分群碼名稱!A:B,2)</f>
        <v>百貨</v>
      </c>
      <c r="C131" t="s">
        <v>251</v>
      </c>
      <c r="D131" s="2">
        <v>0</v>
      </c>
      <c r="E131" s="2">
        <v>0</v>
      </c>
      <c r="F131" s="2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</row>
    <row r="132" spans="1:15" x14ac:dyDescent="0.2">
      <c r="A132" t="s">
        <v>252</v>
      </c>
      <c r="B132" t="str">
        <f>VLOOKUP(A132,分群碼名稱!A:B,2)</f>
        <v>百貨</v>
      </c>
      <c r="C132" t="s">
        <v>253</v>
      </c>
      <c r="D132" s="2">
        <v>0</v>
      </c>
      <c r="E132" s="2">
        <v>0</v>
      </c>
      <c r="F132" s="2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-174</v>
      </c>
      <c r="M132" s="3">
        <v>0</v>
      </c>
      <c r="N132" s="3">
        <v>0</v>
      </c>
      <c r="O132" s="3">
        <v>0</v>
      </c>
    </row>
    <row r="133" spans="1:15" x14ac:dyDescent="0.2">
      <c r="A133" t="s">
        <v>254</v>
      </c>
      <c r="B133" t="str">
        <f>VLOOKUP(A133,分群碼名稱!A:B,2)</f>
        <v>百貨</v>
      </c>
      <c r="C133" t="s">
        <v>255</v>
      </c>
      <c r="D133" s="2">
        <v>0</v>
      </c>
      <c r="E133" s="2">
        <v>0</v>
      </c>
      <c r="F133" s="2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</row>
    <row r="134" spans="1:15" x14ac:dyDescent="0.2">
      <c r="A134" t="s">
        <v>256</v>
      </c>
      <c r="B134" t="str">
        <f>VLOOKUP(A134,分群碼名稱!A:B,2)</f>
        <v>百貨</v>
      </c>
      <c r="C134" t="s">
        <v>198</v>
      </c>
      <c r="D134" s="2">
        <v>0</v>
      </c>
      <c r="E134" s="2">
        <v>0</v>
      </c>
      <c r="F134" s="2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-17</v>
      </c>
      <c r="M134" s="3">
        <v>0</v>
      </c>
      <c r="N134" s="3">
        <v>0</v>
      </c>
      <c r="O134" s="3">
        <v>0</v>
      </c>
    </row>
    <row r="135" spans="1:15" x14ac:dyDescent="0.2">
      <c r="A135" t="s">
        <v>257</v>
      </c>
      <c r="B135" t="str">
        <f>VLOOKUP(A135,分群碼名稱!A:B,2)</f>
        <v>百貨</v>
      </c>
      <c r="C135" t="s">
        <v>258</v>
      </c>
      <c r="D135" s="2">
        <v>0</v>
      </c>
      <c r="E135" s="2">
        <v>0</v>
      </c>
      <c r="F135" s="2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375</v>
      </c>
      <c r="M135" s="3">
        <v>0</v>
      </c>
      <c r="N135" s="3">
        <v>0</v>
      </c>
      <c r="O135" s="3">
        <v>0</v>
      </c>
    </row>
    <row r="136" spans="1:15" x14ac:dyDescent="0.2">
      <c r="A136" t="s">
        <v>259</v>
      </c>
      <c r="B136" t="str">
        <f>VLOOKUP(A136,分群碼名稱!A:B,2)</f>
        <v>百貨</v>
      </c>
      <c r="C136" t="s">
        <v>200</v>
      </c>
      <c r="D136" s="2">
        <v>12500</v>
      </c>
      <c r="E136" s="2">
        <v>0</v>
      </c>
      <c r="F136" s="2">
        <v>12500</v>
      </c>
      <c r="G136" s="3">
        <v>29284</v>
      </c>
      <c r="H136" s="3">
        <v>0</v>
      </c>
      <c r="I136" s="3">
        <v>0</v>
      </c>
      <c r="J136" s="3">
        <v>29284</v>
      </c>
      <c r="K136" s="3">
        <v>2.34</v>
      </c>
      <c r="L136" s="3">
        <v>21425</v>
      </c>
      <c r="M136" s="3">
        <v>1.71</v>
      </c>
      <c r="N136" s="3">
        <v>24346</v>
      </c>
      <c r="O136" s="3">
        <v>1.95</v>
      </c>
    </row>
    <row r="137" spans="1:15" x14ac:dyDescent="0.2">
      <c r="A137" t="s">
        <v>260</v>
      </c>
      <c r="B137" t="str">
        <f>VLOOKUP(A137,分群碼名稱!A:B,2)</f>
        <v>百貨</v>
      </c>
      <c r="C137" t="s">
        <v>261</v>
      </c>
      <c r="D137" s="2">
        <v>0</v>
      </c>
      <c r="E137" s="2">
        <v>0</v>
      </c>
      <c r="F137" s="2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1514</v>
      </c>
      <c r="M137" s="3">
        <v>0</v>
      </c>
      <c r="N137" s="3">
        <v>0</v>
      </c>
      <c r="O137" s="3">
        <v>0</v>
      </c>
    </row>
    <row r="138" spans="1:15" x14ac:dyDescent="0.2">
      <c r="A138" t="s">
        <v>262</v>
      </c>
      <c r="B138" t="str">
        <f>VLOOKUP(A138,分群碼名稱!A:B,2)</f>
        <v>百貨</v>
      </c>
      <c r="C138" t="s">
        <v>263</v>
      </c>
      <c r="D138" s="2">
        <v>0</v>
      </c>
      <c r="E138" s="2">
        <v>0</v>
      </c>
      <c r="F138" s="2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121</v>
      </c>
      <c r="M138" s="3">
        <v>0</v>
      </c>
      <c r="N138" s="3">
        <v>0</v>
      </c>
      <c r="O138" s="3">
        <v>0</v>
      </c>
    </row>
    <row r="139" spans="1:15" x14ac:dyDescent="0.2">
      <c r="A139" t="s">
        <v>264</v>
      </c>
      <c r="B139" t="str">
        <f>VLOOKUP(A139,分群碼名稱!A:B,2)</f>
        <v>燈座</v>
      </c>
      <c r="C139" t="s">
        <v>2</v>
      </c>
      <c r="D139" s="2">
        <v>906</v>
      </c>
      <c r="E139" s="2">
        <v>0</v>
      </c>
      <c r="F139" s="2">
        <v>906</v>
      </c>
      <c r="G139" s="3">
        <v>55727</v>
      </c>
      <c r="H139" s="3">
        <v>0</v>
      </c>
      <c r="I139" s="3">
        <v>0</v>
      </c>
      <c r="J139" s="3">
        <v>55727</v>
      </c>
      <c r="K139" s="3">
        <v>61.51</v>
      </c>
      <c r="L139" s="3">
        <v>30356</v>
      </c>
      <c r="M139" s="3">
        <v>33.51</v>
      </c>
      <c r="N139" s="3">
        <v>30356</v>
      </c>
      <c r="O139" s="3">
        <v>33.51</v>
      </c>
    </row>
    <row r="140" spans="1:15" x14ac:dyDescent="0.2">
      <c r="A140" t="s">
        <v>265</v>
      </c>
      <c r="B140" t="str">
        <f>VLOOKUP(A140,分群碼名稱!A:B,2)</f>
        <v>大燈</v>
      </c>
      <c r="C140" t="s">
        <v>16</v>
      </c>
      <c r="D140" s="2">
        <v>46025</v>
      </c>
      <c r="E140" s="2">
        <v>-373</v>
      </c>
      <c r="F140" s="2">
        <v>45652</v>
      </c>
      <c r="G140" s="3">
        <v>60288960</v>
      </c>
      <c r="H140" s="3">
        <v>-73316</v>
      </c>
      <c r="I140" s="3">
        <v>-682285</v>
      </c>
      <c r="J140" s="3">
        <v>59533359</v>
      </c>
      <c r="K140" s="3">
        <v>1304.07</v>
      </c>
      <c r="L140" s="3">
        <v>33831321</v>
      </c>
      <c r="M140" s="3">
        <v>741.07</v>
      </c>
      <c r="N140" s="3">
        <v>33956209</v>
      </c>
      <c r="O140" s="3">
        <v>743.81</v>
      </c>
    </row>
    <row r="141" spans="1:15" x14ac:dyDescent="0.2">
      <c r="A141" t="s">
        <v>266</v>
      </c>
      <c r="B141" t="str">
        <f>VLOOKUP(A141,分群碼名稱!A:B,2)</f>
        <v>燈座</v>
      </c>
      <c r="C141" t="s">
        <v>18</v>
      </c>
      <c r="D141" s="2">
        <v>95</v>
      </c>
      <c r="E141" s="2">
        <v>0</v>
      </c>
      <c r="F141" s="2">
        <v>95</v>
      </c>
      <c r="G141" s="3">
        <v>37265</v>
      </c>
      <c r="H141" s="3">
        <v>0</v>
      </c>
      <c r="I141" s="3">
        <v>0</v>
      </c>
      <c r="J141" s="3">
        <v>37265</v>
      </c>
      <c r="K141" s="3">
        <v>392.26</v>
      </c>
      <c r="L141" s="3">
        <v>22800</v>
      </c>
      <c r="M141" s="3">
        <v>240</v>
      </c>
      <c r="N141" s="3">
        <v>22800</v>
      </c>
      <c r="O141" s="3">
        <v>240</v>
      </c>
    </row>
    <row r="142" spans="1:15" x14ac:dyDescent="0.2">
      <c r="A142" t="s">
        <v>267</v>
      </c>
      <c r="B142" t="str">
        <f>VLOOKUP(A142,分群碼名稱!A:B,2)</f>
        <v>倒車燈</v>
      </c>
      <c r="C142" t="s">
        <v>20</v>
      </c>
      <c r="D142" s="2">
        <v>3553</v>
      </c>
      <c r="E142" s="2">
        <v>-2</v>
      </c>
      <c r="F142" s="2">
        <v>3551</v>
      </c>
      <c r="G142" s="3">
        <v>2858543</v>
      </c>
      <c r="H142" s="3">
        <v>-784</v>
      </c>
      <c r="I142" s="3">
        <v>-2603</v>
      </c>
      <c r="J142" s="3">
        <v>2855156</v>
      </c>
      <c r="K142" s="3">
        <v>804.04</v>
      </c>
      <c r="L142" s="3">
        <v>1272139</v>
      </c>
      <c r="M142" s="3">
        <v>358.25</v>
      </c>
      <c r="N142" s="3">
        <v>1268193</v>
      </c>
      <c r="O142" s="3">
        <v>357.14</v>
      </c>
    </row>
    <row r="143" spans="1:15" x14ac:dyDescent="0.2">
      <c r="A143" t="s">
        <v>268</v>
      </c>
      <c r="B143" t="str">
        <f>VLOOKUP(A143,分群碼名稱!A:B,2)</f>
        <v>邊燈</v>
      </c>
      <c r="C143" t="s">
        <v>22</v>
      </c>
      <c r="D143" s="2">
        <v>2150</v>
      </c>
      <c r="E143" s="2">
        <v>0</v>
      </c>
      <c r="F143" s="2">
        <v>2150</v>
      </c>
      <c r="G143" s="3">
        <v>172600</v>
      </c>
      <c r="H143" s="3">
        <v>0</v>
      </c>
      <c r="I143" s="3">
        <v>0</v>
      </c>
      <c r="J143" s="3">
        <v>172600</v>
      </c>
      <c r="K143" s="3">
        <v>80.28</v>
      </c>
      <c r="L143" s="3">
        <v>70600</v>
      </c>
      <c r="M143" s="3">
        <v>32.840000000000003</v>
      </c>
      <c r="N143" s="3">
        <v>70597</v>
      </c>
      <c r="O143" s="3">
        <v>32.840000000000003</v>
      </c>
    </row>
    <row r="144" spans="1:15" x14ac:dyDescent="0.2">
      <c r="A144" t="s">
        <v>269</v>
      </c>
      <c r="B144" t="str">
        <f>VLOOKUP(A144,分群碼名稱!A:B,2)</f>
        <v>角燈</v>
      </c>
      <c r="C144" t="s">
        <v>24</v>
      </c>
      <c r="D144" s="2">
        <v>3250</v>
      </c>
      <c r="E144" s="2">
        <v>0</v>
      </c>
      <c r="F144" s="2">
        <v>3250</v>
      </c>
      <c r="G144" s="3">
        <v>845050</v>
      </c>
      <c r="H144" s="3">
        <v>0</v>
      </c>
      <c r="I144" s="3">
        <v>0</v>
      </c>
      <c r="J144" s="3">
        <v>845050</v>
      </c>
      <c r="K144" s="3">
        <v>260.02</v>
      </c>
      <c r="L144" s="3">
        <v>273942</v>
      </c>
      <c r="M144" s="3">
        <v>84.29</v>
      </c>
      <c r="N144" s="3">
        <v>267901</v>
      </c>
      <c r="O144" s="3">
        <v>82.43</v>
      </c>
    </row>
    <row r="145" spans="1:15" x14ac:dyDescent="0.2">
      <c r="A145" t="s">
        <v>270</v>
      </c>
      <c r="B145" t="str">
        <f>VLOOKUP(A145,分群碼名稱!A:B,2)</f>
        <v>前燈</v>
      </c>
      <c r="C145" t="s">
        <v>26</v>
      </c>
      <c r="D145" s="2">
        <v>764</v>
      </c>
      <c r="E145" s="2">
        <v>0</v>
      </c>
      <c r="F145" s="2">
        <v>764</v>
      </c>
      <c r="G145" s="3">
        <v>89007</v>
      </c>
      <c r="H145" s="3">
        <v>0</v>
      </c>
      <c r="I145" s="3">
        <v>0</v>
      </c>
      <c r="J145" s="3">
        <v>89007</v>
      </c>
      <c r="K145" s="3">
        <v>116.5</v>
      </c>
      <c r="L145" s="3">
        <v>56904</v>
      </c>
      <c r="M145" s="3">
        <v>74.48</v>
      </c>
      <c r="N145" s="3">
        <v>56905</v>
      </c>
      <c r="O145" s="3">
        <v>74.48</v>
      </c>
    </row>
    <row r="146" spans="1:15" x14ac:dyDescent="0.2">
      <c r="A146" t="s">
        <v>271</v>
      </c>
      <c r="B146" t="str">
        <f>VLOOKUP(A146,分群碼名稱!A:B,2)</f>
        <v>燈座</v>
      </c>
      <c r="C146" t="s">
        <v>28</v>
      </c>
      <c r="D146" s="2">
        <v>160</v>
      </c>
      <c r="E146" s="2">
        <v>0</v>
      </c>
      <c r="F146" s="2">
        <v>160</v>
      </c>
      <c r="G146" s="3">
        <v>38780</v>
      </c>
      <c r="H146" s="3">
        <v>0</v>
      </c>
      <c r="I146" s="3">
        <v>0</v>
      </c>
      <c r="J146" s="3">
        <v>38780</v>
      </c>
      <c r="K146" s="3">
        <v>242.38</v>
      </c>
      <c r="L146" s="3">
        <v>25600</v>
      </c>
      <c r="M146" s="3">
        <v>160</v>
      </c>
      <c r="N146" s="3">
        <v>25600</v>
      </c>
      <c r="O146" s="3">
        <v>160</v>
      </c>
    </row>
    <row r="147" spans="1:15" x14ac:dyDescent="0.2">
      <c r="A147" t="s">
        <v>272</v>
      </c>
      <c r="B147" t="str">
        <f>VLOOKUP(A147,分群碼名稱!A:B,2)</f>
        <v>後燈</v>
      </c>
      <c r="C147" t="s">
        <v>30</v>
      </c>
      <c r="D147" s="2">
        <v>31884</v>
      </c>
      <c r="E147" s="2">
        <v>-6</v>
      </c>
      <c r="F147" s="2">
        <v>31878</v>
      </c>
      <c r="G147" s="3">
        <v>29101630</v>
      </c>
      <c r="H147" s="3">
        <v>-2393</v>
      </c>
      <c r="I147" s="3">
        <v>-5630</v>
      </c>
      <c r="J147" s="3">
        <v>29093607</v>
      </c>
      <c r="K147" s="3">
        <v>912.65</v>
      </c>
      <c r="L147" s="3">
        <v>14838227</v>
      </c>
      <c r="M147" s="3">
        <v>465.47</v>
      </c>
      <c r="N147" s="3">
        <v>14725793</v>
      </c>
      <c r="O147" s="3">
        <v>461.94</v>
      </c>
    </row>
    <row r="148" spans="1:15" x14ac:dyDescent="0.2">
      <c r="A148" t="s">
        <v>273</v>
      </c>
      <c r="B148" t="str">
        <f>VLOOKUP(A148,分群碼名稱!A:B,2)</f>
        <v>霧燈</v>
      </c>
      <c r="C148" t="s">
        <v>32</v>
      </c>
      <c r="D148" s="2">
        <v>1009</v>
      </c>
      <c r="E148" s="2">
        <v>0</v>
      </c>
      <c r="F148" s="2">
        <v>1009</v>
      </c>
      <c r="G148" s="3">
        <v>350175</v>
      </c>
      <c r="H148" s="3">
        <v>0</v>
      </c>
      <c r="I148" s="3">
        <v>0</v>
      </c>
      <c r="J148" s="3">
        <v>350175</v>
      </c>
      <c r="K148" s="3">
        <v>347.05</v>
      </c>
      <c r="L148" s="3">
        <v>157868</v>
      </c>
      <c r="M148" s="3">
        <v>156.46</v>
      </c>
      <c r="N148" s="3">
        <v>157867</v>
      </c>
      <c r="O148" s="3">
        <v>156.46</v>
      </c>
    </row>
    <row r="149" spans="1:15" x14ac:dyDescent="0.2">
      <c r="A149" t="s">
        <v>274</v>
      </c>
      <c r="B149" t="str">
        <f>VLOOKUP(A149,分群碼名稱!A:B,2)</f>
        <v>百貨</v>
      </c>
      <c r="C149" t="s">
        <v>38</v>
      </c>
      <c r="D149" s="2">
        <v>20</v>
      </c>
      <c r="E149" s="2">
        <v>0</v>
      </c>
      <c r="F149" s="2">
        <v>20</v>
      </c>
      <c r="G149" s="3">
        <v>2426</v>
      </c>
      <c r="H149" s="3">
        <v>0</v>
      </c>
      <c r="I149" s="3">
        <v>0</v>
      </c>
      <c r="J149" s="3">
        <v>2426</v>
      </c>
      <c r="K149" s="3">
        <v>121.3</v>
      </c>
      <c r="L149" s="3">
        <v>1200</v>
      </c>
      <c r="M149" s="3">
        <v>60</v>
      </c>
      <c r="N149" s="3">
        <v>1200</v>
      </c>
      <c r="O149" s="3">
        <v>60</v>
      </c>
    </row>
    <row r="150" spans="1:15" x14ac:dyDescent="0.2">
      <c r="A150" t="s">
        <v>275</v>
      </c>
      <c r="B150" t="str">
        <f>VLOOKUP(A150,分群碼名稱!A:B,2)</f>
        <v>百貨</v>
      </c>
      <c r="C150" t="s">
        <v>42</v>
      </c>
      <c r="D150" s="2">
        <v>740</v>
      </c>
      <c r="E150" s="2">
        <v>0</v>
      </c>
      <c r="F150" s="2">
        <v>740</v>
      </c>
      <c r="G150" s="3">
        <v>83369</v>
      </c>
      <c r="H150" s="3">
        <v>0</v>
      </c>
      <c r="I150" s="3">
        <v>0</v>
      </c>
      <c r="J150" s="3">
        <v>83369</v>
      </c>
      <c r="K150" s="3">
        <v>112.66</v>
      </c>
      <c r="L150" s="3">
        <v>46792</v>
      </c>
      <c r="M150" s="3">
        <v>63.23</v>
      </c>
      <c r="N150" s="3">
        <v>46792</v>
      </c>
      <c r="O150" s="3">
        <v>63.23</v>
      </c>
    </row>
    <row r="151" spans="1:15" x14ac:dyDescent="0.2">
      <c r="A151" t="s">
        <v>276</v>
      </c>
      <c r="B151" t="str">
        <f>VLOOKUP(A151,分群碼名稱!A:B,2)</f>
        <v>百貨</v>
      </c>
      <c r="C151" t="s">
        <v>44</v>
      </c>
      <c r="D151" s="2">
        <v>270</v>
      </c>
      <c r="E151" s="2">
        <v>0</v>
      </c>
      <c r="F151" s="2">
        <v>270</v>
      </c>
      <c r="G151" s="3">
        <v>65683</v>
      </c>
      <c r="H151" s="3">
        <v>0</v>
      </c>
      <c r="I151" s="3">
        <v>0</v>
      </c>
      <c r="J151" s="3">
        <v>65683</v>
      </c>
      <c r="K151" s="3">
        <v>243.27</v>
      </c>
      <c r="L151" s="3">
        <v>17157</v>
      </c>
      <c r="M151" s="3">
        <v>63.54</v>
      </c>
      <c r="N151" s="3">
        <v>17159</v>
      </c>
      <c r="O151" s="3">
        <v>63.55</v>
      </c>
    </row>
    <row r="152" spans="1:15" x14ac:dyDescent="0.2">
      <c r="A152" t="s">
        <v>277</v>
      </c>
      <c r="B152" t="str">
        <f>VLOOKUP(A152,分群碼名稱!A:B,2)</f>
        <v>其他燈</v>
      </c>
      <c r="C152" t="s">
        <v>48</v>
      </c>
      <c r="D152" s="2">
        <v>1100</v>
      </c>
      <c r="E152" s="2">
        <v>0</v>
      </c>
      <c r="F152" s="2">
        <v>1100</v>
      </c>
      <c r="G152" s="3">
        <v>502640</v>
      </c>
      <c r="H152" s="3">
        <v>0</v>
      </c>
      <c r="I152" s="3">
        <v>0</v>
      </c>
      <c r="J152" s="3">
        <v>502640</v>
      </c>
      <c r="K152" s="3">
        <v>456.95</v>
      </c>
      <c r="L152" s="3">
        <v>217510</v>
      </c>
      <c r="M152" s="3">
        <v>197.74</v>
      </c>
      <c r="N152" s="3">
        <v>217511</v>
      </c>
      <c r="O152" s="3">
        <v>197.74</v>
      </c>
    </row>
    <row r="153" spans="1:15" x14ac:dyDescent="0.2">
      <c r="A153" t="s">
        <v>278</v>
      </c>
      <c r="B153" t="str">
        <f>VLOOKUP(A153,分群碼名稱!A:B,2)</f>
        <v>百貨</v>
      </c>
      <c r="C153" t="s">
        <v>54</v>
      </c>
      <c r="D153" s="2">
        <v>160</v>
      </c>
      <c r="E153" s="2">
        <v>0</v>
      </c>
      <c r="F153" s="2">
        <v>160</v>
      </c>
      <c r="G153" s="3">
        <v>26316</v>
      </c>
      <c r="H153" s="3">
        <v>0</v>
      </c>
      <c r="I153" s="3">
        <v>0</v>
      </c>
      <c r="J153" s="3">
        <v>26316</v>
      </c>
      <c r="K153" s="3">
        <v>164.48</v>
      </c>
      <c r="L153" s="3">
        <v>14400</v>
      </c>
      <c r="M153" s="3">
        <v>90</v>
      </c>
      <c r="N153" s="3">
        <v>14400</v>
      </c>
      <c r="O153" s="3">
        <v>90</v>
      </c>
    </row>
    <row r="154" spans="1:15" x14ac:dyDescent="0.2">
      <c r="A154" t="s">
        <v>279</v>
      </c>
      <c r="B154" t="str">
        <f>VLOOKUP(A154,分群碼名稱!A:B,2)</f>
        <v>百貨</v>
      </c>
      <c r="C154" t="s">
        <v>56</v>
      </c>
      <c r="D154" s="2">
        <v>4275</v>
      </c>
      <c r="E154" s="2">
        <v>-3</v>
      </c>
      <c r="F154" s="2">
        <v>4272</v>
      </c>
      <c r="G154" s="3">
        <v>2292129</v>
      </c>
      <c r="H154" s="3">
        <v>0</v>
      </c>
      <c r="I154" s="3">
        <v>-458</v>
      </c>
      <c r="J154" s="3">
        <v>2291671</v>
      </c>
      <c r="K154" s="3">
        <v>536.44000000000005</v>
      </c>
      <c r="L154" s="3">
        <v>585761</v>
      </c>
      <c r="M154" s="3">
        <v>137.12</v>
      </c>
      <c r="N154" s="3">
        <v>582970</v>
      </c>
      <c r="O154" s="3">
        <v>136.46</v>
      </c>
    </row>
    <row r="155" spans="1:15" x14ac:dyDescent="0.2">
      <c r="A155" t="s">
        <v>280</v>
      </c>
      <c r="B155" t="str">
        <f>VLOOKUP(A155,分群碼名稱!A:B,2)</f>
        <v>百貨</v>
      </c>
      <c r="C155" t="s">
        <v>281</v>
      </c>
      <c r="D155" s="2">
        <v>2965</v>
      </c>
      <c r="E155" s="2">
        <v>0</v>
      </c>
      <c r="F155" s="2">
        <v>2965</v>
      </c>
      <c r="G155" s="3">
        <v>1373554</v>
      </c>
      <c r="H155" s="3">
        <v>0</v>
      </c>
      <c r="I155" s="3">
        <v>0</v>
      </c>
      <c r="J155" s="3">
        <v>1373554</v>
      </c>
      <c r="K155" s="3">
        <v>463.26</v>
      </c>
      <c r="L155" s="3">
        <v>1301611</v>
      </c>
      <c r="M155" s="3">
        <v>438.99</v>
      </c>
      <c r="N155" s="3">
        <v>1301611</v>
      </c>
      <c r="O155" s="3">
        <v>438.99</v>
      </c>
    </row>
    <row r="156" spans="1:15" x14ac:dyDescent="0.2">
      <c r="A156" t="s">
        <v>282</v>
      </c>
      <c r="B156" t="str">
        <f>VLOOKUP(A156,分群碼名稱!A:B,2)</f>
        <v>百貨</v>
      </c>
      <c r="C156" t="s">
        <v>283</v>
      </c>
      <c r="D156" s="2">
        <v>100</v>
      </c>
      <c r="E156" s="2">
        <v>0</v>
      </c>
      <c r="F156" s="2">
        <v>100</v>
      </c>
      <c r="G156" s="3">
        <v>134774</v>
      </c>
      <c r="H156" s="3">
        <v>0</v>
      </c>
      <c r="I156" s="3">
        <v>0</v>
      </c>
      <c r="J156" s="3">
        <v>134774</v>
      </c>
      <c r="K156" s="3">
        <v>1347.74</v>
      </c>
      <c r="L156" s="3">
        <v>126300</v>
      </c>
      <c r="M156" s="3">
        <v>1263</v>
      </c>
      <c r="N156" s="3">
        <v>126300</v>
      </c>
      <c r="O156" s="3">
        <v>1263</v>
      </c>
    </row>
    <row r="157" spans="1:15" x14ac:dyDescent="0.2">
      <c r="A157" t="s">
        <v>284</v>
      </c>
      <c r="B157" t="str">
        <f>VLOOKUP(A157,分群碼名稱!A:B,2)</f>
        <v>百貨</v>
      </c>
      <c r="C157" t="s">
        <v>80</v>
      </c>
      <c r="D157" s="2">
        <v>150</v>
      </c>
      <c r="E157" s="2">
        <v>0</v>
      </c>
      <c r="F157" s="2">
        <v>150</v>
      </c>
      <c r="G157" s="3">
        <v>110890</v>
      </c>
      <c r="H157" s="3">
        <v>0</v>
      </c>
      <c r="I157" s="3">
        <v>0</v>
      </c>
      <c r="J157" s="3">
        <v>110890</v>
      </c>
      <c r="K157" s="3">
        <v>739.27</v>
      </c>
      <c r="L157" s="3">
        <v>66010</v>
      </c>
      <c r="M157" s="3">
        <v>440.07</v>
      </c>
      <c r="N157" s="3">
        <v>66010</v>
      </c>
      <c r="O157" s="3">
        <v>440.07</v>
      </c>
    </row>
    <row r="158" spans="1:15" x14ac:dyDescent="0.2">
      <c r="A158" t="s">
        <v>285</v>
      </c>
      <c r="B158" t="str">
        <f>VLOOKUP(A158,分群碼名稱!A:B,2)</f>
        <v>百貨</v>
      </c>
      <c r="C158" t="s">
        <v>286</v>
      </c>
      <c r="D158" s="2">
        <v>119</v>
      </c>
      <c r="E158" s="2">
        <v>0</v>
      </c>
      <c r="F158" s="2">
        <v>119</v>
      </c>
      <c r="G158" s="3">
        <v>-1191</v>
      </c>
      <c r="H158" s="3">
        <v>-16354672</v>
      </c>
      <c r="I158" s="3">
        <v>0</v>
      </c>
      <c r="J158" s="3">
        <v>-16355863</v>
      </c>
      <c r="K158" s="3">
        <v>-137444.23000000001</v>
      </c>
      <c r="L158" s="3">
        <v>0</v>
      </c>
      <c r="M158" s="3">
        <v>0</v>
      </c>
      <c r="N158" s="3">
        <v>0</v>
      </c>
      <c r="O158" s="3">
        <v>0</v>
      </c>
    </row>
    <row r="159" spans="1:15" x14ac:dyDescent="0.2">
      <c r="A159" t="s">
        <v>287</v>
      </c>
      <c r="B159" t="str">
        <f>VLOOKUP(A159,分群碼名稱!A:B,2)</f>
        <v>百貨</v>
      </c>
      <c r="C159" t="s">
        <v>288</v>
      </c>
      <c r="D159" s="2">
        <v>0</v>
      </c>
      <c r="E159" s="2">
        <v>0</v>
      </c>
      <c r="F159" s="2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</row>
    <row r="160" spans="1:15" x14ac:dyDescent="0.2">
      <c r="A160" t="s">
        <v>289</v>
      </c>
      <c r="B160" t="str">
        <f>VLOOKUP(A160,分群碼名稱!A:B,2)</f>
        <v>百貨</v>
      </c>
      <c r="C160" t="s">
        <v>290</v>
      </c>
      <c r="D160" s="2">
        <v>0</v>
      </c>
      <c r="E160" s="2">
        <v>0</v>
      </c>
      <c r="F160" s="2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7"/>
  <sheetViews>
    <sheetView workbookViewId="0">
      <selection activeCell="E9" sqref="E9"/>
    </sheetView>
  </sheetViews>
  <sheetFormatPr defaultRowHeight="12.75" x14ac:dyDescent="0.2"/>
  <cols>
    <col min="1" max="1" width="9.5703125" bestFit="1" customWidth="1"/>
    <col min="2" max="8" width="15.140625" customWidth="1"/>
    <col min="9" max="9" width="20.5703125" bestFit="1" customWidth="1"/>
  </cols>
  <sheetData>
    <row r="3" spans="1:9" x14ac:dyDescent="0.2">
      <c r="A3" s="12" t="s">
        <v>332</v>
      </c>
      <c r="B3" t="s">
        <v>335</v>
      </c>
      <c r="C3" t="s">
        <v>336</v>
      </c>
      <c r="D3" t="s">
        <v>337</v>
      </c>
      <c r="E3" t="s">
        <v>338</v>
      </c>
      <c r="F3" t="s">
        <v>339</v>
      </c>
      <c r="G3" t="s">
        <v>340</v>
      </c>
      <c r="H3" t="s">
        <v>341</v>
      </c>
      <c r="I3" t="s">
        <v>342</v>
      </c>
    </row>
    <row r="4" spans="1:9" x14ac:dyDescent="0.2">
      <c r="A4" s="13" t="s">
        <v>311</v>
      </c>
      <c r="B4" s="14">
        <v>1317573</v>
      </c>
      <c r="C4" s="14">
        <v>-2018</v>
      </c>
      <c r="D4" s="14">
        <v>1315555</v>
      </c>
      <c r="E4" s="14">
        <v>2170330647</v>
      </c>
      <c r="F4" s="14">
        <v>-1049306</v>
      </c>
      <c r="G4" s="14">
        <v>-9259497</v>
      </c>
      <c r="H4" s="14">
        <v>2160021844</v>
      </c>
      <c r="I4" s="14">
        <v>1441846094</v>
      </c>
    </row>
    <row r="5" spans="1:9" x14ac:dyDescent="0.2">
      <c r="A5" s="13" t="s">
        <v>309</v>
      </c>
      <c r="B5" s="14">
        <v>364473</v>
      </c>
      <c r="C5" s="14">
        <v>-139</v>
      </c>
      <c r="D5" s="14">
        <v>364334</v>
      </c>
      <c r="E5" s="14">
        <v>46430753</v>
      </c>
      <c r="F5" s="14">
        <v>-16354672</v>
      </c>
      <c r="G5" s="14">
        <v>-6707</v>
      </c>
      <c r="H5" s="14">
        <v>30069374</v>
      </c>
      <c r="I5" s="14">
        <v>29892368</v>
      </c>
    </row>
    <row r="6" spans="1:9" x14ac:dyDescent="0.2">
      <c r="A6" s="13" t="s">
        <v>24</v>
      </c>
      <c r="B6" s="14">
        <v>401564</v>
      </c>
      <c r="C6" s="14">
        <v>-27</v>
      </c>
      <c r="D6" s="14">
        <v>401537</v>
      </c>
      <c r="E6" s="14">
        <v>64613390</v>
      </c>
      <c r="F6" s="14">
        <v>-837</v>
      </c>
      <c r="G6" s="14">
        <v>-6883</v>
      </c>
      <c r="H6" s="14">
        <v>64605670</v>
      </c>
      <c r="I6" s="14">
        <v>38844060</v>
      </c>
    </row>
    <row r="7" spans="1:9" x14ac:dyDescent="0.2">
      <c r="A7" s="13" t="s">
        <v>318</v>
      </c>
      <c r="B7" s="14">
        <v>3186</v>
      </c>
      <c r="C7" s="14">
        <v>0</v>
      </c>
      <c r="D7" s="14">
        <v>3186</v>
      </c>
      <c r="E7" s="14">
        <v>1689230</v>
      </c>
      <c r="F7" s="14">
        <v>0</v>
      </c>
      <c r="G7" s="14">
        <v>0</v>
      </c>
      <c r="H7" s="14">
        <v>1689230</v>
      </c>
      <c r="I7" s="14">
        <v>1596512</v>
      </c>
    </row>
    <row r="8" spans="1:9" x14ac:dyDescent="0.2">
      <c r="A8" s="13" t="s">
        <v>314</v>
      </c>
      <c r="B8" s="14">
        <v>207671</v>
      </c>
      <c r="C8" s="14">
        <v>-24</v>
      </c>
      <c r="D8" s="14">
        <v>207647</v>
      </c>
      <c r="E8" s="14">
        <v>65255358</v>
      </c>
      <c r="F8" s="14">
        <v>-2557</v>
      </c>
      <c r="G8" s="14">
        <v>-31692</v>
      </c>
      <c r="H8" s="14">
        <v>65221109</v>
      </c>
      <c r="I8" s="14">
        <v>36469643</v>
      </c>
    </row>
    <row r="9" spans="1:9" x14ac:dyDescent="0.2">
      <c r="A9" s="13" t="s">
        <v>316</v>
      </c>
      <c r="B9" s="14">
        <v>1114072</v>
      </c>
      <c r="C9" s="14">
        <v>-291</v>
      </c>
      <c r="D9" s="14">
        <v>1113781</v>
      </c>
      <c r="E9" s="14">
        <v>767200242</v>
      </c>
      <c r="F9" s="14">
        <v>-109732</v>
      </c>
      <c r="G9" s="14">
        <v>-281153</v>
      </c>
      <c r="H9" s="14">
        <v>766809357</v>
      </c>
      <c r="I9" s="14">
        <v>459687789</v>
      </c>
    </row>
    <row r="10" spans="1:9" x14ac:dyDescent="0.2">
      <c r="A10" s="13" t="s">
        <v>312</v>
      </c>
      <c r="B10" s="14">
        <v>79581</v>
      </c>
      <c r="C10" s="14">
        <v>-43</v>
      </c>
      <c r="D10" s="14">
        <v>79538</v>
      </c>
      <c r="E10" s="14">
        <v>53398315</v>
      </c>
      <c r="F10" s="14">
        <v>-1599</v>
      </c>
      <c r="G10" s="14">
        <v>-48231</v>
      </c>
      <c r="H10" s="14">
        <v>53348485</v>
      </c>
      <c r="I10" s="14">
        <v>32447787</v>
      </c>
    </row>
    <row r="11" spans="1:9" x14ac:dyDescent="0.2">
      <c r="A11" s="13" t="s">
        <v>331</v>
      </c>
      <c r="B11" s="14">
        <v>167485</v>
      </c>
      <c r="C11" s="14">
        <v>-11</v>
      </c>
      <c r="D11" s="14">
        <v>167474</v>
      </c>
      <c r="E11" s="14">
        <v>4586590</v>
      </c>
      <c r="F11" s="14">
        <v>0</v>
      </c>
      <c r="G11" s="14">
        <v>-1600</v>
      </c>
      <c r="H11" s="14">
        <v>4584990</v>
      </c>
      <c r="I11" s="14">
        <v>4155309</v>
      </c>
    </row>
    <row r="12" spans="1:9" x14ac:dyDescent="0.2">
      <c r="A12" s="13" t="s">
        <v>34</v>
      </c>
      <c r="B12" s="14">
        <v>90206</v>
      </c>
      <c r="C12" s="14">
        <v>0</v>
      </c>
      <c r="D12" s="14">
        <v>90206</v>
      </c>
      <c r="E12" s="14">
        <v>5669271</v>
      </c>
      <c r="F12" s="14">
        <v>0</v>
      </c>
      <c r="G12" s="14">
        <v>0</v>
      </c>
      <c r="H12" s="14">
        <v>5669271</v>
      </c>
      <c r="I12" s="14">
        <v>4894848</v>
      </c>
    </row>
    <row r="13" spans="1:9" x14ac:dyDescent="0.2">
      <c r="A13" s="13" t="s">
        <v>308</v>
      </c>
      <c r="B13" s="14">
        <v>144736</v>
      </c>
      <c r="C13" s="14">
        <v>-3</v>
      </c>
      <c r="D13" s="14">
        <v>144733</v>
      </c>
      <c r="E13" s="14">
        <v>12250934</v>
      </c>
      <c r="F13" s="14">
        <v>-69</v>
      </c>
      <c r="G13" s="14">
        <v>-47</v>
      </c>
      <c r="H13" s="14">
        <v>12250818</v>
      </c>
      <c r="I13" s="14">
        <v>14073717</v>
      </c>
    </row>
    <row r="14" spans="1:9" x14ac:dyDescent="0.2">
      <c r="A14" s="13" t="s">
        <v>313</v>
      </c>
      <c r="B14" s="14">
        <v>243880</v>
      </c>
      <c r="C14" s="14">
        <v>-21</v>
      </c>
      <c r="D14" s="14">
        <v>243859</v>
      </c>
      <c r="E14" s="14">
        <v>27332579</v>
      </c>
      <c r="F14" s="14">
        <v>-294</v>
      </c>
      <c r="G14" s="14">
        <v>-3717</v>
      </c>
      <c r="H14" s="14">
        <v>27328568</v>
      </c>
      <c r="I14" s="14">
        <v>11889135</v>
      </c>
    </row>
    <row r="15" spans="1:9" x14ac:dyDescent="0.2">
      <c r="A15" s="13" t="s">
        <v>317</v>
      </c>
      <c r="B15" s="14">
        <v>231595</v>
      </c>
      <c r="C15" s="14">
        <v>-24</v>
      </c>
      <c r="D15" s="14">
        <v>231571</v>
      </c>
      <c r="E15" s="14">
        <v>133831538</v>
      </c>
      <c r="F15" s="14">
        <v>-3289</v>
      </c>
      <c r="G15" s="14">
        <v>-34902</v>
      </c>
      <c r="H15" s="14">
        <v>133793347</v>
      </c>
      <c r="I15" s="14">
        <v>77860378</v>
      </c>
    </row>
    <row r="16" spans="1:9" x14ac:dyDescent="0.2">
      <c r="A16" s="13" t="s">
        <v>333</v>
      </c>
      <c r="B16" s="14">
        <v>0</v>
      </c>
      <c r="C16" s="14">
        <v>0</v>
      </c>
      <c r="D16" s="14">
        <v>0</v>
      </c>
      <c r="E16" s="14">
        <v>4319802</v>
      </c>
      <c r="F16" s="14">
        <v>0</v>
      </c>
      <c r="G16" s="14">
        <v>252432</v>
      </c>
      <c r="H16" s="14">
        <v>4572234</v>
      </c>
      <c r="I16" s="14">
        <v>0</v>
      </c>
    </row>
    <row r="17" spans="1:9" x14ac:dyDescent="0.2">
      <c r="A17" s="13" t="s">
        <v>334</v>
      </c>
      <c r="B17" s="14">
        <v>4366022</v>
      </c>
      <c r="C17" s="14">
        <v>-2601</v>
      </c>
      <c r="D17" s="14">
        <v>4363421</v>
      </c>
      <c r="E17" s="14">
        <v>3356908649</v>
      </c>
      <c r="F17" s="14">
        <v>-17522355</v>
      </c>
      <c r="G17" s="14">
        <v>-9421997</v>
      </c>
      <c r="H17" s="14">
        <v>3329964297</v>
      </c>
      <c r="I17" s="14">
        <v>2153657640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49" zoomScale="80" zoomScaleNormal="80" workbookViewId="0">
      <selection activeCell="E53" sqref="E53"/>
    </sheetView>
  </sheetViews>
  <sheetFormatPr defaultColWidth="10.28515625" defaultRowHeight="16.5" x14ac:dyDescent="0.25"/>
  <cols>
    <col min="1" max="2" width="10.28515625" style="4"/>
    <col min="3" max="16384" width="10.28515625" style="5"/>
  </cols>
  <sheetData>
    <row r="1" spans="1:2" x14ac:dyDescent="0.25">
      <c r="A1" s="4" t="s">
        <v>306</v>
      </c>
      <c r="B1" s="4" t="s">
        <v>307</v>
      </c>
    </row>
    <row r="2" spans="1:2" x14ac:dyDescent="0.25">
      <c r="A2" s="4" t="s">
        <v>1</v>
      </c>
      <c r="B2" s="4" t="s">
        <v>308</v>
      </c>
    </row>
    <row r="3" spans="1:2" x14ac:dyDescent="0.25">
      <c r="A3" s="4" t="s">
        <v>3</v>
      </c>
      <c r="B3" s="4" t="s">
        <v>309</v>
      </c>
    </row>
    <row r="4" spans="1:2" x14ac:dyDescent="0.25">
      <c r="A4" s="4" t="s">
        <v>5</v>
      </c>
      <c r="B4" s="4" t="s">
        <v>309</v>
      </c>
    </row>
    <row r="5" spans="1:2" x14ac:dyDescent="0.25">
      <c r="A5" s="4" t="s">
        <v>310</v>
      </c>
      <c r="B5" s="4" t="s">
        <v>309</v>
      </c>
    </row>
    <row r="6" spans="1:2" x14ac:dyDescent="0.25">
      <c r="A6" s="4" t="s">
        <v>9</v>
      </c>
      <c r="B6" s="4" t="s">
        <v>309</v>
      </c>
    </row>
    <row r="7" spans="1:2" x14ac:dyDescent="0.25">
      <c r="A7" s="6" t="s">
        <v>11</v>
      </c>
      <c r="B7" s="4" t="s">
        <v>309</v>
      </c>
    </row>
    <row r="8" spans="1:2" x14ac:dyDescent="0.25">
      <c r="A8" s="4" t="s">
        <v>13</v>
      </c>
      <c r="B8" s="4" t="s">
        <v>309</v>
      </c>
    </row>
    <row r="9" spans="1:2" x14ac:dyDescent="0.25">
      <c r="A9" s="4" t="s">
        <v>15</v>
      </c>
      <c r="B9" s="4" t="s">
        <v>311</v>
      </c>
    </row>
    <row r="10" spans="1:2" x14ac:dyDescent="0.25">
      <c r="A10" s="4" t="s">
        <v>17</v>
      </c>
      <c r="B10" s="4" t="s">
        <v>308</v>
      </c>
    </row>
    <row r="11" spans="1:2" x14ac:dyDescent="0.25">
      <c r="A11" s="4" t="s">
        <v>19</v>
      </c>
      <c r="B11" s="4" t="s">
        <v>312</v>
      </c>
    </row>
    <row r="12" spans="1:2" x14ac:dyDescent="0.25">
      <c r="A12" s="4" t="s">
        <v>21</v>
      </c>
      <c r="B12" s="4" t="s">
        <v>313</v>
      </c>
    </row>
    <row r="13" spans="1:2" x14ac:dyDescent="0.25">
      <c r="A13" s="4" t="s">
        <v>23</v>
      </c>
      <c r="B13" s="4" t="s">
        <v>24</v>
      </c>
    </row>
    <row r="14" spans="1:2" x14ac:dyDescent="0.25">
      <c r="A14" s="4" t="s">
        <v>25</v>
      </c>
      <c r="B14" s="4" t="s">
        <v>314</v>
      </c>
    </row>
    <row r="15" spans="1:2" x14ac:dyDescent="0.25">
      <c r="A15" s="4" t="s">
        <v>27</v>
      </c>
      <c r="B15" s="4" t="s">
        <v>308</v>
      </c>
    </row>
    <row r="16" spans="1:2" x14ac:dyDescent="0.25">
      <c r="A16" s="4" t="s">
        <v>315</v>
      </c>
      <c r="B16" s="4" t="s">
        <v>309</v>
      </c>
    </row>
    <row r="17" spans="1:2" x14ac:dyDescent="0.25">
      <c r="A17" s="4" t="s">
        <v>29</v>
      </c>
      <c r="B17" s="4" t="s">
        <v>316</v>
      </c>
    </row>
    <row r="18" spans="1:2" x14ac:dyDescent="0.25">
      <c r="A18" s="4" t="s">
        <v>31</v>
      </c>
      <c r="B18" s="4" t="s">
        <v>317</v>
      </c>
    </row>
    <row r="19" spans="1:2" x14ac:dyDescent="0.25">
      <c r="A19" s="4" t="s">
        <v>33</v>
      </c>
      <c r="B19" s="4" t="s">
        <v>34</v>
      </c>
    </row>
    <row r="20" spans="1:2" x14ac:dyDescent="0.25">
      <c r="A20" s="4" t="s">
        <v>35</v>
      </c>
      <c r="B20" s="4" t="s">
        <v>318</v>
      </c>
    </row>
    <row r="21" spans="1:2" x14ac:dyDescent="0.25">
      <c r="A21" s="4" t="s">
        <v>319</v>
      </c>
      <c r="B21" s="4" t="s">
        <v>309</v>
      </c>
    </row>
    <row r="22" spans="1:2" x14ac:dyDescent="0.25">
      <c r="A22" s="4" t="s">
        <v>320</v>
      </c>
      <c r="B22" s="4" t="s">
        <v>309</v>
      </c>
    </row>
    <row r="23" spans="1:2" x14ac:dyDescent="0.25">
      <c r="A23" s="4" t="s">
        <v>37</v>
      </c>
      <c r="B23" s="4" t="s">
        <v>309</v>
      </c>
    </row>
    <row r="24" spans="1:2" x14ac:dyDescent="0.25">
      <c r="A24" s="4" t="s">
        <v>39</v>
      </c>
      <c r="B24" s="4" t="s">
        <v>309</v>
      </c>
    </row>
    <row r="25" spans="1:2" x14ac:dyDescent="0.25">
      <c r="A25" s="4" t="s">
        <v>321</v>
      </c>
      <c r="B25" s="4" t="s">
        <v>309</v>
      </c>
    </row>
    <row r="26" spans="1:2" x14ac:dyDescent="0.25">
      <c r="A26" s="4" t="s">
        <v>41</v>
      </c>
      <c r="B26" s="4" t="s">
        <v>309</v>
      </c>
    </row>
    <row r="27" spans="1:2" x14ac:dyDescent="0.25">
      <c r="A27" s="4" t="s">
        <v>43</v>
      </c>
      <c r="B27" s="4" t="s">
        <v>309</v>
      </c>
    </row>
    <row r="28" spans="1:2" x14ac:dyDescent="0.25">
      <c r="A28" s="4" t="s">
        <v>45</v>
      </c>
      <c r="B28" s="4" t="s">
        <v>318</v>
      </c>
    </row>
    <row r="29" spans="1:2" x14ac:dyDescent="0.25">
      <c r="A29" s="4" t="s">
        <v>322</v>
      </c>
      <c r="B29" s="4" t="s">
        <v>309</v>
      </c>
    </row>
    <row r="30" spans="1:2" x14ac:dyDescent="0.25">
      <c r="A30" s="4" t="s">
        <v>47</v>
      </c>
      <c r="B30" s="4" t="s">
        <v>318</v>
      </c>
    </row>
    <row r="31" spans="1:2" x14ac:dyDescent="0.25">
      <c r="A31" s="4" t="s">
        <v>49</v>
      </c>
      <c r="B31" s="4" t="s">
        <v>309</v>
      </c>
    </row>
    <row r="32" spans="1:2" x14ac:dyDescent="0.25">
      <c r="A32" s="4" t="s">
        <v>51</v>
      </c>
      <c r="B32" s="4" t="s">
        <v>309</v>
      </c>
    </row>
    <row r="33" spans="1:2" x14ac:dyDescent="0.25">
      <c r="A33" s="4" t="s">
        <v>53</v>
      </c>
      <c r="B33" s="4" t="s">
        <v>309</v>
      </c>
    </row>
    <row r="34" spans="1:2" x14ac:dyDescent="0.25">
      <c r="A34" s="4" t="s">
        <v>55</v>
      </c>
      <c r="B34" s="4" t="s">
        <v>309</v>
      </c>
    </row>
    <row r="35" spans="1:2" x14ac:dyDescent="0.25">
      <c r="A35" s="4" t="s">
        <v>323</v>
      </c>
      <c r="B35" s="4" t="s">
        <v>309</v>
      </c>
    </row>
    <row r="36" spans="1:2" x14ac:dyDescent="0.25">
      <c r="A36" s="4" t="s">
        <v>57</v>
      </c>
      <c r="B36" s="4" t="s">
        <v>309</v>
      </c>
    </row>
    <row r="37" spans="1:2" x14ac:dyDescent="0.25">
      <c r="A37" s="4" t="s">
        <v>59</v>
      </c>
      <c r="B37" s="4" t="s">
        <v>309</v>
      </c>
    </row>
    <row r="38" spans="1:2" x14ac:dyDescent="0.25">
      <c r="A38" s="4" t="s">
        <v>61</v>
      </c>
      <c r="B38" s="4" t="s">
        <v>309</v>
      </c>
    </row>
    <row r="39" spans="1:2" x14ac:dyDescent="0.25">
      <c r="A39" s="6" t="s">
        <v>63</v>
      </c>
      <c r="B39" s="4" t="s">
        <v>309</v>
      </c>
    </row>
    <row r="40" spans="1:2" x14ac:dyDescent="0.25">
      <c r="A40" s="4" t="s">
        <v>65</v>
      </c>
      <c r="B40" s="4" t="s">
        <v>309</v>
      </c>
    </row>
    <row r="41" spans="1:2" x14ac:dyDescent="0.25">
      <c r="A41" s="4" t="s">
        <v>67</v>
      </c>
      <c r="B41" s="4" t="s">
        <v>309</v>
      </c>
    </row>
    <row r="42" spans="1:2" x14ac:dyDescent="0.25">
      <c r="A42" s="4" t="s">
        <v>69</v>
      </c>
      <c r="B42" s="4" t="s">
        <v>309</v>
      </c>
    </row>
    <row r="43" spans="1:2" x14ac:dyDescent="0.25">
      <c r="A43" s="4" t="s">
        <v>71</v>
      </c>
      <c r="B43" s="4" t="s">
        <v>309</v>
      </c>
    </row>
    <row r="44" spans="1:2" x14ac:dyDescent="0.25">
      <c r="A44" s="4" t="s">
        <v>75</v>
      </c>
      <c r="B44" s="4" t="s">
        <v>309</v>
      </c>
    </row>
    <row r="45" spans="1:2" x14ac:dyDescent="0.25">
      <c r="A45" s="4" t="s">
        <v>77</v>
      </c>
      <c r="B45" s="4" t="s">
        <v>309</v>
      </c>
    </row>
    <row r="46" spans="1:2" x14ac:dyDescent="0.25">
      <c r="A46" s="4" t="s">
        <v>79</v>
      </c>
      <c r="B46" s="4" t="s">
        <v>309</v>
      </c>
    </row>
    <row r="47" spans="1:2" x14ac:dyDescent="0.25">
      <c r="A47" s="4" t="s">
        <v>81</v>
      </c>
      <c r="B47" s="4" t="s">
        <v>309</v>
      </c>
    </row>
    <row r="48" spans="1:2" x14ac:dyDescent="0.25">
      <c r="A48" s="4" t="s">
        <v>83</v>
      </c>
      <c r="B48" s="4" t="s">
        <v>309</v>
      </c>
    </row>
    <row r="49" spans="1:2" x14ac:dyDescent="0.25">
      <c r="A49" s="4" t="s">
        <v>264</v>
      </c>
      <c r="B49" s="4" t="s">
        <v>308</v>
      </c>
    </row>
    <row r="50" spans="1:2" x14ac:dyDescent="0.25">
      <c r="A50" s="4" t="s">
        <v>265</v>
      </c>
      <c r="B50" s="4" t="s">
        <v>311</v>
      </c>
    </row>
    <row r="51" spans="1:2" x14ac:dyDescent="0.25">
      <c r="A51" s="4" t="s">
        <v>266</v>
      </c>
      <c r="B51" s="4" t="s">
        <v>308</v>
      </c>
    </row>
    <row r="52" spans="1:2" x14ac:dyDescent="0.25">
      <c r="A52" s="4" t="s">
        <v>267</v>
      </c>
      <c r="B52" s="4" t="s">
        <v>312</v>
      </c>
    </row>
    <row r="53" spans="1:2" x14ac:dyDescent="0.25">
      <c r="A53" s="4" t="s">
        <v>268</v>
      </c>
      <c r="B53" s="4" t="s">
        <v>313</v>
      </c>
    </row>
    <row r="54" spans="1:2" x14ac:dyDescent="0.25">
      <c r="A54" s="4" t="s">
        <v>269</v>
      </c>
      <c r="B54" s="4" t="s">
        <v>24</v>
      </c>
    </row>
    <row r="55" spans="1:2" x14ac:dyDescent="0.25">
      <c r="A55" s="4" t="s">
        <v>270</v>
      </c>
      <c r="B55" s="4" t="s">
        <v>314</v>
      </c>
    </row>
    <row r="56" spans="1:2" x14ac:dyDescent="0.25">
      <c r="A56" s="4" t="s">
        <v>271</v>
      </c>
      <c r="B56" s="4" t="s">
        <v>308</v>
      </c>
    </row>
    <row r="57" spans="1:2" s="8" customFormat="1" x14ac:dyDescent="0.25">
      <c r="A57" s="7" t="s">
        <v>272</v>
      </c>
      <c r="B57" s="7" t="s">
        <v>316</v>
      </c>
    </row>
    <row r="58" spans="1:2" x14ac:dyDescent="0.25">
      <c r="A58" s="4" t="s">
        <v>273</v>
      </c>
      <c r="B58" s="4" t="s">
        <v>317</v>
      </c>
    </row>
    <row r="59" spans="1:2" x14ac:dyDescent="0.25">
      <c r="A59" s="4" t="s">
        <v>324</v>
      </c>
      <c r="B59" s="4" t="s">
        <v>34</v>
      </c>
    </row>
    <row r="60" spans="1:2" x14ac:dyDescent="0.25">
      <c r="A60" s="4" t="s">
        <v>274</v>
      </c>
      <c r="B60" s="4" t="s">
        <v>309</v>
      </c>
    </row>
    <row r="61" spans="1:2" x14ac:dyDescent="0.25">
      <c r="A61" s="4" t="s">
        <v>325</v>
      </c>
      <c r="B61" s="4" t="s">
        <v>309</v>
      </c>
    </row>
    <row r="62" spans="1:2" x14ac:dyDescent="0.25">
      <c r="A62" s="4" t="s">
        <v>275</v>
      </c>
      <c r="B62" s="4" t="s">
        <v>309</v>
      </c>
    </row>
    <row r="63" spans="1:2" x14ac:dyDescent="0.25">
      <c r="A63" s="4" t="s">
        <v>276</v>
      </c>
      <c r="B63" s="4" t="s">
        <v>309</v>
      </c>
    </row>
    <row r="64" spans="1:2" x14ac:dyDescent="0.25">
      <c r="A64" s="4" t="s">
        <v>326</v>
      </c>
      <c r="B64" s="4" t="s">
        <v>318</v>
      </c>
    </row>
    <row r="65" spans="1:2" x14ac:dyDescent="0.25">
      <c r="A65" s="4" t="s">
        <v>327</v>
      </c>
      <c r="B65" s="4" t="s">
        <v>309</v>
      </c>
    </row>
    <row r="66" spans="1:2" x14ac:dyDescent="0.25">
      <c r="A66" s="4" t="s">
        <v>277</v>
      </c>
      <c r="B66" s="4" t="s">
        <v>318</v>
      </c>
    </row>
    <row r="67" spans="1:2" x14ac:dyDescent="0.25">
      <c r="A67" s="4" t="s">
        <v>278</v>
      </c>
      <c r="B67" s="4" t="s">
        <v>309</v>
      </c>
    </row>
    <row r="68" spans="1:2" x14ac:dyDescent="0.25">
      <c r="A68" s="4" t="s">
        <v>328</v>
      </c>
      <c r="B68" s="4" t="s">
        <v>309</v>
      </c>
    </row>
    <row r="69" spans="1:2" x14ac:dyDescent="0.25">
      <c r="A69" s="4" t="s">
        <v>329</v>
      </c>
      <c r="B69" s="4" t="s">
        <v>309</v>
      </c>
    </row>
    <row r="70" spans="1:2" x14ac:dyDescent="0.25">
      <c r="A70" s="4" t="s">
        <v>280</v>
      </c>
      <c r="B70" s="4" t="s">
        <v>309</v>
      </c>
    </row>
    <row r="71" spans="1:2" x14ac:dyDescent="0.25">
      <c r="A71" s="4" t="s">
        <v>282</v>
      </c>
      <c r="B71" s="4" t="s">
        <v>309</v>
      </c>
    </row>
    <row r="72" spans="1:2" x14ac:dyDescent="0.25">
      <c r="A72" s="4" t="s">
        <v>330</v>
      </c>
      <c r="B72" s="4" t="s">
        <v>309</v>
      </c>
    </row>
    <row r="73" spans="1:2" x14ac:dyDescent="0.25">
      <c r="A73" s="4" t="s">
        <v>284</v>
      </c>
      <c r="B73" s="4" t="s">
        <v>309</v>
      </c>
    </row>
  </sheetData>
  <phoneticPr fontId="3" type="noConversion"/>
  <pageMargins left="0.75" right="0.75" top="1" bottom="1" header="0.5" footer="0.5"/>
  <pageSetup paperSize="9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原始檔</vt:lpstr>
      <vt:lpstr>樞紐</vt:lpstr>
      <vt:lpstr>分群碼名稱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</cp:lastModifiedBy>
  <cp:revision>1</cp:revision>
  <dcterms:modified xsi:type="dcterms:W3CDTF">2026-04-20T05:10:20Z</dcterms:modified>
  <cp:category/>
</cp:coreProperties>
</file>